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Model A" sheetId="2" r:id="rId6"/>
    <sheet state="visible" name="Model B" sheetId="3" r:id="rId7"/>
    <sheet state="visible" name="Model C" sheetId="4" r:id="rId8"/>
    <sheet state="visible" name="UI Trace" sheetId="5" r:id="rId9"/>
    <sheet state="visible" name="Methodology" sheetId="6" r:id="rId10"/>
  </sheets>
  <definedNames>
    <definedName hidden="1" localSheetId="1" name="_xlnm._FilterDatabase">'Model A'!$A$4:$V$14</definedName>
    <definedName hidden="1" localSheetId="2" name="_xlnm._FilterDatabase">'Model B'!$A$4:$V$14</definedName>
    <definedName hidden="1" localSheetId="3" name="_xlnm._FilterDatabase">'Model C'!$A$4:$V$14</definedName>
    <definedName hidden="1" localSheetId="4" name="_xlnm._FilterDatabase">'UI Trace'!$A$3:$O$23</definedName>
  </definedNames>
  <calcPr/>
</workbook>
</file>

<file path=xl/sharedStrings.xml><?xml version="1.0" encoding="utf-8"?>
<sst xmlns="http://schemas.openxmlformats.org/spreadsheetml/2006/main" count="805" uniqueCount="184">
  <si>
    <t>NBA Actual UI Agent Evaluation - Shared 10 Games</t>
  </si>
  <si>
    <t>Model A</t>
  </si>
  <si>
    <t>Clean rerun through the same UI routes used by the project. Fixed cutoff: 2026-04-05. Sample size: 10 shared games.</t>
  </si>
  <si>
    <t>Model A - predictor-only result from the UI /api/predict route. No LLM and no agent tools.</t>
  </si>
  <si>
    <t/>
  </si>
  <si>
    <t>Accuracy</t>
  </si>
  <si>
    <t>Model</t>
  </si>
  <si>
    <t>Games</t>
  </si>
  <si>
    <t>Correct</t>
  </si>
  <si>
    <t>Net P&amp;L</t>
  </si>
  <si>
    <t>Avg home win %</t>
  </si>
  <si>
    <t>Avg tool calls</t>
  </si>
  <si>
    <t>Gate failures</t>
  </si>
  <si>
    <t>Avg runtime (sec)</t>
  </si>
  <si>
    <t>Execution path</t>
  </si>
  <si>
    <t>Model B</t>
  </si>
  <si>
    <t>Model C</t>
  </si>
  <si>
    <t>Model B - actual gemma4:latest UI agent run. Required calls: matchup context, both team-form calls, and both injury calls.</t>
  </si>
  <si>
    <t>Model C - same gemma4:latest agent and reasoning contract as Model B, plus Model A output as one additional data point.</t>
  </si>
  <si>
    <t>Game</t>
  </si>
  <si>
    <t>Date</t>
  </si>
  <si>
    <t>Away</t>
  </si>
  <si>
    <t>Home</t>
  </si>
  <si>
    <t>Cutoff</t>
  </si>
  <si>
    <t>Runtime / model</t>
  </si>
  <si>
    <t>Home win %</t>
  </si>
  <si>
    <t>Predicted winner</t>
  </si>
  <si>
    <t>Actual winner</t>
  </si>
  <si>
    <t>Correct (1/0)</t>
  </si>
  <si>
    <t>Stake</t>
  </si>
  <si>
    <t>Selected decimal odds</t>
  </si>
  <si>
    <t>Tool sequence</t>
  </si>
  <si>
    <t>Tool calls</t>
  </si>
  <si>
    <t>Gates passed</t>
  </si>
  <si>
    <t>Gates failed</t>
  </si>
  <si>
    <t>Runtime (sec)</t>
  </si>
  <si>
    <t>Input tokens</t>
  </si>
  <si>
    <t>UI /api/predict</t>
  </si>
  <si>
    <t>Output tokens</t>
  </si>
  <si>
    <t>Prompt SHA256</t>
  </si>
  <si>
    <t>Narrative</t>
  </si>
  <si>
    <t>CHO-BOS-2026-04-07</t>
  </si>
  <si>
    <t>2026-04-07</t>
  </si>
  <si>
    <t>CHO</t>
  </si>
  <si>
    <t>BOS</t>
  </si>
  <si>
    <t>2026-04-05</t>
  </si>
  <si>
    <t>none</t>
  </si>
  <si>
    <t>gemma4:latest via Ollama</t>
  </si>
  <si>
    <t>[]</t>
  </si>
  <si>
    <t>["retrieve_matchup_context", "retrieve_team_form", "retrieve_team_form", "retrieve_injuries", "retrieve_injuries"]</t>
  </si>
  <si>
    <t>UI /api/run SSE, gemma4:latest</t>
  </si>
  <si>
    <t>not_applicable</t>
  </si>
  <si>
    <t>7ca5185ee48734db6d943f4311aced73e7d7a42dfd6116a64b2042fd88a942ab</t>
  </si>
  <si>
    <t>ATL-CLE-2026-04-08</t>
  </si>
  <si>
    <t>The Boston Celtics enter this matchup as heavy favorites, supported by their elite 61-21 record and league-leading offensive rating. Despite Charlotte's recent rolling point differential suggesting strong play, the massive disparity in overall season records and ratings heavily favors BOS. The historical head-to-head dominance of the Celtics further solidifies them as the clear favorite to win on home court.</t>
  </si>
  <si>
    <t>2026-04-08</t>
  </si>
  <si>
    <t>ATL</t>
  </si>
  <si>
    <t>CLE</t>
  </si>
  <si>
    <t>["retrieve_matchup_context", "retrieve_team_form", "retrieve_team_form", "retrieve_injuries", "retrieve_injuries", "predict_win_probability"]</t>
  </si>
  <si>
    <t>6dce1b4ef8c5041a670f13228fa8042b9df22cc32a141d59eee3b9f972c708dd</t>
  </si>
  <si>
    <t>The Boston Celtics enter this matchup as clear favorites, bolstered by their strong overall season performance and a clean bill of health. The Hornets face significant adversity with P.J. Hall sidelined for the entire season, which is compounded by poor historical results against BOS. While both teams have equal rest, BOS's superior depth and recent head-to-head dominance give them a substantial edge in this contest.</t>
  </si>
  <si>
    <t>Despite being the home team, Cleveland faces significant headwinds due to multiple key injuries, including Evan Mobley and Jarrett Allen. Atlanta enters this contest on an extremely dominant wave of form, boasting a rolling point differential of +12.5 compared to Cleveland's modest +1.8. This massive disparity in current performance, combined with CLE's roster limitations, suggests that the Hawks are heavily favored to win.</t>
  </si>
  <si>
    <t>IND-BRK-2026-04-09</t>
  </si>
  <si>
    <t>2026-04-09</t>
  </si>
  <si>
    <t>IND</t>
  </si>
  <si>
    <t>BRK</t>
  </si>
  <si>
    <t>The Atlanta Hawks enter this matchup as slight favorites due to their strong recent form, evidenced by a +12.5 rolling point differential over the last 10 games. Cleveland's overall rating and record are impressive, but they face significant challenges with multiple key players—including Evan Mobley and Jarrett Allen—currently sidelined on injury. The model prediction reflects this disparity, giving Atlanta a slight edge despite both teams having equal rest.</t>
  </si>
  <si>
    <t>The Indiana Pacers enter this matchup with a substantial advantage based on recent form and overall team metrics. Their rolling point differential is vastly superior to the Nets', who are struggling significantly in their last ten games. Furthermore, Brooklyn's absence of key players like Michael Porter Jr. severely limits their offensive firepower, giving Indiana a strong edge despite both teams having some injuries.</t>
  </si>
  <si>
    <t>ORL-CHI-2026-04-10</t>
  </si>
  <si>
    <t>2026-04-10</t>
  </si>
  <si>
    <t>ORL</t>
  </si>
  <si>
    <t>CHI</t>
  </si>
  <si>
    <t>UI /api/run SSE + predictor tool</t>
  </si>
  <si>
    <t>Indiana enters this matchup with a substantial advantage in current form, boasting a rolling point differential of -5.1 compared to Brooklyn's poor -15.6. While Model A predicts a high probability for the home Nets (64.5%), the significant disparity in recent performance suggests Indiana is favored despite playing on the road. Both teams are dealing with key injuries—Michael Porter Jr. for Brooklyn and Ivica Zubac for Indiana—which will limit star power, but Indiana's superior point differential gives them a slight edge.</t>
  </si>
  <si>
    <t>This is expected to be a highly competitive, low-scoring affair given that both teams are struggling with significant injuries. While Chicago has the home court advantage, their back-to-back schedule and poor rolling form (-11.5) give Orlando a slight edge. ORL's better overall record and superior recent point differential suggest they will be slightly more potent on the road.</t>
  </si>
  <si>
    <t>ATL-MIA-2026-04-12</t>
  </si>
  <si>
    <t>2026-04-12</t>
  </si>
  <si>
    <t>What these results mean</t>
  </si>
  <si>
    <t>MIA</t>
  </si>
  <si>
    <t>Corrected Model C used Gemma 4 like Model B and added Model A as one peer data point. Results: C 6/10, A 5/10, B 4/10.</t>
  </si>
  <si>
    <t>C may agree or disagree with A. It disagreed on IND-BRK, chose Indiana, and was correct; Model A chose Brooklyn.</t>
  </si>
  <si>
    <t>All B/C rows passed every required knowledge-gate receipt. Outcomes and pre-game odds were joined only after the UI produced its prediction.</t>
  </si>
  <si>
    <t>The Orlando Magic enter this matchup as clear favorites, supported by superior rolling form and a one-day rest advantage over the Chicago Bulls. While both teams are dealing with significant injury concerns, the Bulls' recent struggles and deep roster absences give Orlando a distinct edge. The model reflects this disparity, predicting a strong win probability for the away team.</t>
  </si>
  <si>
    <t>Atlanta enters this matchup in superior form, boasting an 8-2 record and a substantial positive point differential over their last ten games. Miami's recent struggles are evident in their poor 3-7 record and negative rolling average. Furthermore, the absence of star player Norman Powell significantly weakens the Heat's offensive depth. These factors heavily favor Atlanta, who are expected to capitalize on Miami's current slump.</t>
  </si>
  <si>
    <t>MIA-CHO-2026-04-14</t>
  </si>
  <si>
    <t>2026-04-14</t>
  </si>
  <si>
    <t>Atlanta enters this matchup in excellent form, boasting a +12.5 point differential over its last 10 games, while Miami struggles significantly with a -7.7 differential. The absence of star Norman Powell for the Heat is a major blow to their offensive ceiling. Given Atlanta's strong current performance and Miami's key injury, the model predicts a substantial win probability for the away Hawks.</t>
  </si>
  <si>
    <t>The Charlotte Hornets enter this matchup in exceptional form, boasting an impressive 8-2 record and a massive +18.0 point differential over their last ten games. Conversely, the Miami Heat are struggling significantly, evidenced by a poor 3-7 recent record and a negative rolling point differential of -7.7. Furthermore, MIA is hampered by the absence of star Norman Powell, giving CHO a substantial advantage based on current team strength.</t>
  </si>
  <si>
    <t>GSW-LAC-2026-04-15</t>
  </si>
  <si>
    <t>2026-04-15</t>
  </si>
  <si>
    <t>GSW</t>
  </si>
  <si>
    <t>LAC</t>
  </si>
  <si>
    <t>Charlotte has established a significant advantage heading into this matchup, driven by its outstanding recent performance reflected in an average point differential of +18.0 over the last 10 games. Conversely, Miami struggles with negative momentum and a rolling point differential of -7.7. This massive disparity in current form aligns strongly with Model A's prediction, which gives Charlotte an estimated 89% chance of victory. While both teams are dealing with key injuries (Powell for MIA; Hall for CHO), the overwhelming strength signal from Charlotte's recent play makes them clear favorites.</t>
  </si>
  <si>
    <t>The Los Angeles Clippers enter this matchup as clear favorites due to their vastly superior recent form. While both teams are dealing with significant injuries—including star players for both sides—LAC's positive rolling point differential (+2.6) contrasts sharply with GSW's negative differential (-7.3). The disparity in current performance, coupled with LAC's better overall record (39-38 vs 36-41), suggests a strong advantage for the home team.</t>
  </si>
  <si>
    <t>CHO-ORL-2026-04-17</t>
  </si>
  <si>
    <t>2026-04-17</t>
  </si>
  <si>
    <t>UI Trace - Actual Agent Runs</t>
  </si>
  <si>
    <t>The Los Angeles Clippers enter this matchup as strong favorites, supported by their significantly better rolling form (+2.6 average point differential) compared to the Golden State Warriors (-7.3). While both teams are dealing with key injuries—GSW is missing Jimmy Butler and Al Horford, while LAC is missing Bradley Beal—the combination of superior recent performance and historical head-to-head success points toward a Clippers victory at home.</t>
  </si>
  <si>
    <t>Every Model B and C row below came from the same UI /api/run SSE path used by the site.</t>
  </si>
  <si>
    <t>Arm</t>
  </si>
  <si>
    <t>The Hornets enter this matchup in significantly better form than the Magic, boasting an 8-2 record over their last ten outings. This strong recent performance is amplified by a massive rolling point differential that heavily favors Charlotte. Furthermore, Orlando's depth is compromised by multiple key injuries to players like Anthony Black and Jonathan Isaac, giving the Hornets a substantial advantage despite playing away from home.</t>
  </si>
  <si>
    <t>ATL-NYK-2026-04-18</t>
  </si>
  <si>
    <t>LLM</t>
  </si>
  <si>
    <t>2026-04-18</t>
  </si>
  <si>
    <t>NYK</t>
  </si>
  <si>
    <t>Predicted</t>
  </si>
  <si>
    <t>Actual</t>
  </si>
  <si>
    <t>Prompt chars</t>
  </si>
  <si>
    <t>The Hornets enter this contest with a substantial advantage, driven by superior rolling form and point differential (+18.0) compared to Orlando's struggles (-9.4). Orlando is severely hampered by the absence of three key players, including Anthony Black and Jonathan Isaac. All signals—including the model prediction (82.63% for CHO)—point overwhelmingly toward a Charlotte victory.</t>
  </si>
  <si>
    <t>The matchup presents a toss-up, with ATL carrying the edge due to significantly superior rolling form (+12.5 differential) compared to NYK's recent performance. However, NYK benefits from home court and has dominated the last five head-to-head meetings. While ATL is hampered by key rotation injuries, their current offensive efficiency suggests they are capable of challenging the Knicks in a close contest.</t>
  </si>
  <si>
    <t>Input / output tokens</t>
  </si>
  <si>
    <t>MIN-DEN-2026-04-20</t>
  </si>
  <si>
    <t>Returned response</t>
  </si>
  <si>
    <t>2026-04-20</t>
  </si>
  <si>
    <t>MIN</t>
  </si>
  <si>
    <t>B</t>
  </si>
  <si>
    <t>DEN</t>
  </si>
  <si>
    <t>16171 / 2226</t>
  </si>
  <si>
    <t>{"matchup_id":"CHO-BOS-2026-04-07","as_of_date":"2026-04-05","home_win_prob":0.68,"away_win_prob":0.32,"key_factors":["Boston Celtics (BOS) are massive favorites based on overall season performance and ratings.","BOS boasts a dominant 61-21 record with an elite 120.6 offensive rating compared to CHO's 19-63 record and 107.3 offensive rating.","The Celtics have historically dominated this matchup, winning 4 of the last 5 meetings listed.","While Charlotte shows a high rolling point differential (+18.0), BOS's superior overall season metrics (record/ratings) are weighted more heavily than this single form metric."],"narrative":"The Boston Celtics enter this matchup as heavy favorites, supported by their elite 61-21 record and league-leading offensive rating. Despite Charlotte's recent rolling point differential suggesting strong play, the massive disparity in overall season records and ratings heavily favors BOS. The historical head-to-head dominance of the Celtics further solidifies them as the clear favorite to win on home court.","missing":[]}</t>
  </si>
  <si>
    <t>C</t>
  </si>
  <si>
    <t>The Knicks enter this matchup as the favorites due to their superior overall record (51-31) and high offensive efficiency. However, the Hawks boast a significantly better recent form, evidenced by a +12.5 rolling point differential compared to New York's +7.9. While Atlanta is missing key rotation players like N'Faly Dante and Jock Landale, their current momentum gives them a strong chance to challenge the Knicks' established season-long strength.</t>
  </si>
  <si>
    <t>24938 / 2025</t>
  </si>
  <si>
    <t>{"matchup_id":"CHO-BOS-2026-04-07","as_of_date":"2026-04-05","home_win_prob":0.63,"away_win_prob":0.37,"key_factors":["Boston Celtics (BOS) are the favorites due to superior overall team strength and health.","Charlotte Hornets (CHO) are missing P.J. Hall for the season, a significant blow to their roster.","The last five head-to-head matchups show BOS dominating CHO, including a recent victory on March 29th.","While Model A predicted a slight edge for BOS (55.6%), the combination of BOS's healthy status and CHO's major injury/poor record warrants an increased probability."],"narrative":"The Boston Celtics enter this matchup as clear favorites, bolstered by their strong overall season performance and a clean bill of health. The Hornets face significant adversity with P.J. Hall sidelined for the entire season, which is compounded by poor historical results against BOS. While both teams have equal rest, BOS's superior depth and recent head-to-head dominance give them a substantial edge in this contest.","missing":[]}</t>
  </si>
  <si>
    <t>Denver enters this matchup with a significant advantage, boasting excellent rolling form and having fewer key players sidelined than their opponent. Minnesota's absence of stars Anthony Edwards and Jaden McDaniels severely limits their offensive ceiling. While the teams have equal rest, Denver's combination of superior recent performance and critical health advantages makes them the clear favorite.</t>
  </si>
  <si>
    <t>Despite Denver's vastly superior rolling form metrics (+9.6 differential), the model predicts a slight edge to Minnesota (54.1%). Both teams face significant injury challenges, with MIN missing star Anthony Edwards and DEN dealing with multiple key absences. The prediction suggests that the combined impact of injuries and historical matchup data outweighs Denver's current strong run, leading to a near-even contest.</t>
  </si>
  <si>
    <t>18262 / 2193</t>
  </si>
  <si>
    <t>{"matchup_id":"ATL-CLE-2026-04-08","as_of_date":"2026-04-05","home_win_prob":0.4,"away_win_prob":0.6,"key_factors":["Atlanta's dominant rolling point differential (+12.5) significantly outweighs Cleveland's modest +1.8.","Cleveland is hampered by multiple key injuries, including star Evan Mobley and starter Jarrett Allen.","Both teams have equal rest (1 day), neutralizing the primary tie-breaker signal.","Atlanta holds a slight historical edge in the last five matchups (3-2)."],"narrative":"Despite being the home team, Cleveland faces significant headwinds due to multiple key injuries, including Evan Mobley and Jarrett Allen. Atlanta enters this contest on an extremely dominant wave of form, boasting a rolling point differential of +12.5 compared to Cleveland's modest +1.8. This massive disparity in current performance, combined with CLE's roster limitations, suggests that the Hawks are heavily favored to win.","missing":[]}</t>
  </si>
  <si>
    <t>20253 / 1935</t>
  </si>
  <si>
    <t>{"matchup_id":"ATL-CLE-2026-04-08","as_of_date":"2026-04-05","home_win_prob":0.467,"away_win_prob":0.533,"key_factors":["Atlanta's superior rolling point differential (+12.5) compared to Cleveland's (+1.8).","Cleveland is significantly hampered by multiple key injuries, including Evan Mobley and Jarrett Allen.","Model A prediction aligns with the independent analysis, favoring the away team (ATL)."],"narrative":"The Atlanta Hawks enter this matchup as slight favorites due to their strong recent form, evidenced by a +12.5 rolling point differential over the last 10 games. Cleveland's overall rating and record are impressive, but they face significant challenges with multiple key players—including Evan Mobley and Jarrett Allen—currently sidelined on injury. The model prediction reflects this disparity, giving Atlanta a slight edge despite both teams having equal rest.","missing":[]}</t>
  </si>
  <si>
    <t>17612 / 1911</t>
  </si>
  <si>
    <t>{"matchup_id":"IND-BRK-2026-04-09","as_of_date":"2026-04-05","home_win_prob":0.3,"away_win_prob":0.7,"key_factors":["Indiana's rolling form is significantly superior (+5.1 avg point differential) compared to Brooklyn's (-15.6 avg point differential).","Indiana holds better overall ratings (Off: 116.5 / Def: 114.3) and a much stronger record (50-32) than the Nets.","Brooklyn is missing key players, including star Michael Porter Jr. and Egor Demin, severely impacting their roster depth.","Indiana has won 4 of the last 5 head-to-head matchups listed."],"narrative":"The Indiana Pacers enter this matchup with a substantial advantage based on recent form and overall team metrics. Their rolling point differential is vastly superior to the Nets', who are struggling significantly in their last ten games. Furthermore, Brooklyn's absence of key players like Michael Porter Jr. severely limits their offensive firepower, giving Indiana a strong edge despite both teams having some injuries.","missing":[]}</t>
  </si>
  <si>
    <t>27341 / 2028</t>
  </si>
  <si>
    <t>{"matchup_id":"IND-BRK-2026-04-09","as_of_date":"2026-04-05","home_win_prob":0.48,"away_win_prob":0.52,"key_factors":["Indiana's rolling point differential (-5.1) is significantly better than Brooklyn's (-15.6), suggesting a major form advantage for the away team.","Both teams are missing key players (Michael Porter Jr. for BRK; Ivica Zubac for IND), which will impact star power but not necessarily overall team strength.","The model prediction (Model A) favors the home team with 64.5% probability, which materially disagrees with the strong form signal favoring Indiana."],"narrative":"Indiana enters this matchup with a substantial advantage in current form, boasting a rolling point differential of -5.1 compared to Brooklyn's poor -15.6. While Model A predicts a high probability for the home Nets (64.5%), the significant disparity in recent performance suggests Indiana is favored despite playing on the road. Both teams are dealing with key injuries—Michael Porter Jr. for Brooklyn and Ivica Zubac for Indiana—which will limit star power, but Indiana's superior point differential gives them a slight edge.","missing":[]}</t>
  </si>
  <si>
    <t>18333 / 1745</t>
  </si>
  <si>
    <t>{"matchup_id":"ORL-CHI-2026-04-10","as_of_date":"2026-04-05","home_win_prob":0.48,"away_win_prob":0.52,"key_factors":["ORL holds a slight edge in overall record (41-41 vs CHI's 39-43).","The rolling point differential favors ORL (-9.4) over CHI (-11.5), suggesting better current form.","CHI is on a back-to-back schedule, while ORL has one day of rest.","Both teams are significantly hampered by multiple key injuries (e.g., Simons and Ivey for CHI; Black and Isaac for ORL).","Head-to-head history shows mixed results in the last five meetings."],"narrative":"This is expected to be a highly competitive, low-scoring affair given that both teams are struggling with significant injuries. While Chicago has the home court advantage, their back-to-back schedule and poor rolling form (-11.5) give Orlando a slight edge. ORL's better overall record and superior recent point differential suggest they will be slightly more potent on the road.","missing":[]}</t>
  </si>
  <si>
    <t>28539 / 2286</t>
  </si>
  <si>
    <t>{"matchup_id":"ORL-CHI-2026-04-10","as_of_date":"2026-04-05","home_win_prob":0.3416,"away_win_prob":0.6584,"key_factors":["Orlando Magic (Away) holds a significant advantage in rolling form and rest.","Chicago Bulls' recent performance (-11.5 avg point diff) is notably weaker than Orlando's (-9.4 avg point diff).","Both teams are severely hampered by multiple key injuries, but Chicago's list includes major stars like Anfernee Simons and Jaden Ivey.","Model A prediction strongly favors the Magic (65.8%) over the Bulls."],"narrative":"The Orlando Magic enter this matchup as clear favorites, supported by superior rolling form and a one-day rest advantage over the Chicago Bulls. While both teams are dealing with significant injury concerns, the Bulls' recent struggles and deep roster absences give Orlando a distinct edge. The model reflects this disparity, predicting a strong win probability for the away team.","missing":[]}</t>
  </si>
  <si>
    <t>16934 / 1695</t>
  </si>
  <si>
    <t>{"matchup_id":"ATL-MIA-2026-04-12","as_of_date":"2026-04-05","home_win_prob":0.32,"away_win_prob":0.68,"key_factors":["Atlanta (Away) enters the game in excellent form with an 8-2 record and a strong rolling average point differential of +12.5.","Miami (Home) is struggling significantly, showing poor recent form with a 3-7 record and a negative rolling average point differential of -7.7.","The most significant injury concern for Miami is the absence of star player Norman Powell due to illness.","Both teams have equal rest (1 day), negating any advantage from back-to-backs or recovery time."],"narrative":"Atlanta enters this matchup in superior form, boasting an 8-2 record and a substantial positive point differential over their last ten games. Miami's recent struggles are evident in their poor 3-7 record and negative rolling average. Furthermore, the absence of star player Norman Powell significantly weakens the Heat's offensive depth. These factors heavily favor Atlanta, who are expected to capitalize on Miami's current slump.","missing":[]}</t>
  </si>
  <si>
    <t>Methodology</t>
  </si>
  <si>
    <t>26210 / 1742</t>
  </si>
  <si>
    <t>{"matchup_id":"ATL-MIA-2026-04-12","as_of_date":"2026-04-05","home_win_prob":0.2362,"away_win_prob":0.7638,"key_factors":["Atlanta's superior rolling form (+12.5 point differential) compared to Miami's poor recent performance (-7.7 point differential).","Miami is missing star Norman Powell, a significant blow to their offensive firepower.","The model prediction strongly favors the away team (ATL), which aligns with current form and injury context."],"narrative":"Atlanta enters this matchup in excellent form, boasting a +12.5 point differential over its last 10 games, while Miami struggles significantly with a -7.7 differential. The absence of star Norman Powell for the Heat is a major blow to their offensive ceiling. Given Atlanta's strong current performance and Miami's key injury, the model predicts a substantial win probability for the away Hawks.","missing":[]}</t>
  </si>
  <si>
    <t>How this clean rerun was performed</t>
  </si>
  <si>
    <t>Rule</t>
  </si>
  <si>
    <t>Implementation</t>
  </si>
  <si>
    <t>Shared games</t>
  </si>
  <si>
    <t>All three models ran the same 10 games supplied by Sarvesh.</t>
  </si>
  <si>
    <t>Knowledge cutoff</t>
  </si>
  <si>
    <t>2026-04-05 for every run. Target games were 2026-04-07 through 2026-04-20.</t>
  </si>
  <si>
    <t>16520 / 2018</t>
  </si>
  <si>
    <t>{"matchup_id":"MIA-CHO-2026-04-14","as_of_date":"2026-04-05","home_win_prob":0.68,"away_win_prob":0.32,"key_factors":["CHO boasts a dominant rolling form with an average point differential of +18.0 and an 8-2 record over the last 10 games.","MIA's recent performance is significantly weaker, showing a -7.7 average point differential and a 3-7 record in their last ten outings.","Miami is missing star player Norman Powell due to illness, which represents a notable blow to their roster depth.","Both teams have equal rest (1 day), neutralizing the primary tie-breaker."],"narrative":"The Charlotte Hornets enter this matchup in exceptional form, boasting an impressive 8-2 record and a massive +18.0 point differential over their last ten games. Conversely, the Miami Heat are struggling significantly, evidenced by a poor 3-7 recent record and a negative rolling point differential of -7.7. Furthermore, MIA is hampered by the absence of star Norman Powell, giving CHO a substantial advantage based on current team strength.","missing":[]}</t>
  </si>
  <si>
    <t>Called the project UI predictor endpoint: POST /api/predict. No LLM or agent tools.</t>
  </si>
  <si>
    <t>Called the project UI agent endpoint: POST /api/run (SSE) with gemma4:latest via Ollama. Required matchup context, two team-form calls, and two injury calls.</t>
  </si>
  <si>
    <t>18509 / 1705</t>
  </si>
  <si>
    <t>{"matchup_id":"MIA-CHO-2026-04-14","as_of_date":"2026-04-05","home_win_prob":0.89,"away_win_prob":0.11,"key_factors":["CHO's superior rolling form (Avg Point Diff: +18.0) compared to MIA's (-7.7).","Model A prediction strongly favors the home team (CHO) at 89%.","Both teams are missing key players (MIA: Norman Powell; CHO: P.J. Hall), but form remains the dominant signal.","The high probability estimate is supported by both current rolling form and Model A's prediction."],"narrative":"Charlotte has established a significant advantage heading into this matchup, driven by its outstanding recent performance reflected in an average point differential of +18.0 over the last 10 games. Conversely, Miami struggles with negative momentum and a rolling point differential of -7.7. This massive disparity in current form aligns strongly with Model A's prediction, which gives Charlotte an estimated 89% chance of victory. While both teams are dealing with key injuries (Powell for MIA; Hall for CHO), the overwhelming strength signal from Charlotte's recent play makes them clear favorites.","missing":[]}</t>
  </si>
  <si>
    <t>Called POST /api/run (SSE) with the same Gemma 4 model and identical reasoning core as B. The only addition was Model A output as one additional data point; C owned the final probability and could agree or disagree.</t>
  </si>
  <si>
    <t>Acceptance rule</t>
  </si>
  <si>
    <t>A B/C row was accepted only when every required tool call appeared and every knowledge-gate receipt passed with zero post-cutoff records.</t>
  </si>
  <si>
    <t>18275 / 2048</t>
  </si>
  <si>
    <t>Scoring</t>
  </si>
  <si>
    <t>{"matchup_id":"GSW-LAC-2026-04-15","as_of_date":"2026-04-05","home_win_prob":0.68,"away_win_prob":0.32,"key_factors":["LAC holds a significant advantage in rolling form, boasting an average point differential of +2.6 over the last 10 games compared to GSW's -7.3.","Both teams are heavily impacted by injuries (GSW missing Butler and Horford; LAC missing Beal), but LAC's superior recent performance suggests a better ability to compensate for absences.","Head-to-head history is mixed, though LAC has won 3 of the last 5 meetings."],"narrative":"The Los Angeles Clippers enter this matchup as clear favorites due to their vastly superior recent form. While both teams are dealing with significant injuries\u2014including star players for both sides\u2014LAC's positive rolling point differential (+2.6) contrasts sharply with GSW's negative differential (-7.3). The disparity in current performance, coupled with LAC's better overall record (39-38 vs 36-41), suggests a strong advantage for the home team.","missing":[]}</t>
  </si>
  <si>
    <t>After the UI returned a final prediction, predicted winner was compared with the actual winner. Correct = 1; wrong = 0.</t>
  </si>
  <si>
    <t>Money</t>
  </si>
  <si>
    <t>After prediction, the selected side's pre-game decimal odds were joined. Net P&amp;L = stake x (odds - 1) when correct; otherwise -stake. Stake = $100.</t>
  </si>
  <si>
    <t>28452 / 2083</t>
  </si>
  <si>
    <t>No leakage</t>
  </si>
  <si>
    <t>Actual outcomes and odds were not included in the agent prompt or tool payloads. They were joined only for scoring after the response completed.</t>
  </si>
  <si>
    <t>{"matchup_id":"GSW-LAC-2026-04-15","as_of_date":"2026-04-05","home_win_prob":0.77,"away_win_prob":0.23,"key_factors":["LAC's superior rolling form (Avg Point Diff: +2.6) compared to GSW (-7.3).","The model prediction strongly favors LAC (77% probability), which aligns with the current form differential.","In head-to-head history, LAC has won 3 of the last 5 matchups, including the most recent one.","Both teams are missing key players, but the overall performance metrics favor the home team."],"narrative":"The Los Angeles Clippers enter this matchup as strong favorites, supported by their significantly better rolling form (+2.6 average point differential) compared to the Golden State Warriors (-7.3). While both teams are dealing with key injuries—GSW is missing Jimmy Butler and Al Horford, while LAC is missing Bradley Beal—the combination of superior recent performance and historical head-to-head success points toward a Clippers victory at home.","missing":[]}</t>
  </si>
  <si>
    <t>Limitation</t>
  </si>
  <si>
    <t>N=10 is useful for a classroom demonstration and shared-team comparison, but it is too small to establish season-level accuracy.</t>
  </si>
  <si>
    <t>Audit trail</t>
  </si>
  <si>
    <t>17226 / 1873</t>
  </si>
  <si>
    <t>The UI Trace tab records prompt hashes, tool sequences, gate counts, timing, token counts, and the returned response text for every B/C run.</t>
  </si>
  <si>
    <t>{"matchup_id":"CHO-ORL-2026-04-17","as_of_date":"2026-04-05","home_win_prob":0.32,"away_win_prob":0.68,"key_factors":["CHO enters the game in excellent form (8-2 over last 10 games) compared to ORL's struggles (3-7).","The rolling point differential heavily favors CHO (+18.0) over ORL (-9.4), indicating superior current strength.","ORL is dealing with multiple significant injuries, including Anthony Black and Jonathan Isaac, which severely impacts their depth.","CHO holds a slight rest advantage with two days of rest compared to ORL's one day."],"narrative":"The Hornets enter this matchup in significantly better form than the Magic, boasting an 8-2 record over their last ten outings. This strong recent performance is amplified by a massive rolling point differential that heavily favors Charlotte. Furthermore, Orlando's depth is compromised by multiple key injuries to players like Anthony Black and Jonathan Isaac, giving the Hornets a substantial advantage despite playing away from home.","missing":[]}</t>
  </si>
  <si>
    <t>26699 / 1768</t>
  </si>
  <si>
    <t>{"matchup_id":"CHO-ORL-2026-04-17","as_of_date":"2026-04-05","home_win_prob":0.1737,"away_win_prob":0.8263,"key_factors":["Charlotte's superior rolling form (Avg Point Diff: +18.0) compared to Orlando (-9.4).","Orlando is missing three key players (Anthony Black, Jonathan Isaac, Jett Howard), significantly impacting depth.","The model prediction strongly favors the away team (CHO 82.63% vs ORL 17.37%).","Charlotte won the most recent head-to-head matchup on March 19th."],"narrative":"The Hornets enter this contest with a substantial advantage, driven by superior rolling form and point differential (+18.0) compared to Orlando's struggles (-9.4). Orlando is severely hampered by the absence of three key players, including Anthony Black and Jonathan Isaac. All signals—including the model prediction (82.63% for CHO)—point overwhelmingly toward a Charlotte victory.","missing":[]}</t>
  </si>
  <si>
    <t>16597 / 2474</t>
  </si>
  <si>
    <t>{"matchup_id":"ATL-NYK-2026-04-18","as_of_date":"2026-04-05","home_win_prob":0.47,"away_win_prob":0.53,"key_factors":["ATL boasts superior rolling form, evidenced by a +12.5 average point differential over the last 10 games compared to NYK's +7.9.","NYK benefits from home-court advantage and has won 4 of the last 5 matchups against ATL (H2H).","Both teams have an equal rest period of 5 days, neutralizing a key tie-breaker.","ATL is missing rotation players N'Faly Dante and Jock Landale, which limits depth."],"narrative":"The matchup presents a toss-up, with ATL carrying the edge due to significantly superior rolling form (+12.5 differential) compared to NYK's recent performance. However, NYK benefits from home court and has dominated the last five head-to-head meetings. While ATL is hampered by key rotation injuries, their current offensive efficiency suggests they are capable of challenging the Knicks in a close contest.","missing":[]}</t>
  </si>
  <si>
    <t>25650 / 2323</t>
  </si>
  <si>
    <t>{"matchup_id":"ATL-NYK-2026-04-18","as_of_date":"2026-04-05","home_win_prob":0.59,"away_win_prob":0.41,"key_factors":["The New York Knicks hold a significant advantage in overall season record (51-31) and offensive rating (118.5).","Atlanta's rolling point differential (+12.5 over last 10 games) is substantially higher than the Knicks' (+7.9), indicating superior recent form.","Both teams have an equal rest advantage of five days, negating a major tie-breaker signal.","Model A predicts a win probability of 64% for NYK, suggesting that overall season strength and rating metrics outweigh Atlanta's current rolling point differential edge."],"narrative":"The Knicks enter this matchup as the favorites due to their superior overall record (51-31) and high offensive efficiency. However, the Hawks boast a significantly better recent form, evidenced by a +12.5 rolling point differential compared to New York's +7.9. While Atlanta is missing key rotation players like N'Faly Dante and Jock Landale, their current momentum gives them a strong chance to challenge the Knicks' established season-long strength.","missing":[]}</t>
  </si>
  <si>
    <t>17566 / 1717</t>
  </si>
  <si>
    <t>{"matchup_id":"MIN-DEN-2026-04-20","as_of_date":"2026-04-05","home_win_prob":0.68,"away_win_prob":0.32,"key_factors":["Denver's superior rolling form (+9.6 avg point differential over last 10 games) compared to Minnesota (+3.4).","Minnesota is significantly hampered by the absence of two high-importance stars: Anthony Edwards and Jaden McDaniels.","Both teams have equal rest (1 day), neutralizing that factor."],"narrative":"Denver enters this matchup with a significant advantage, boasting excellent rolling form and having fewer key players sidelined than their opponent. Minnesota's absence of stars Anthony Edwards and Jaden McDaniels severely limits their offensive ceiling. While the teams have equal rest, Denver's combination of superior recent performance and critical health advantages makes them the clear favorite.","missing":[]}</t>
  </si>
  <si>
    <t>27269 / 1923</t>
  </si>
  <si>
    <t>{"matchup_id":"MIN-DEN-2026-04-20","as_of_date":"2026-04-05","home_win_prob":0.46,"away_win_prob":0.54,"key_factors":["Model A predicts a slight edge to the away team (MIN) at 54.1% vs 45.9%.","Denver shows significantly superior rolling form (+9.6 point differential, 9-1 record) compared to Minnesota (+3.4 point differential, 5-5 record).","Both teams are severely hampered by injuries; MIN is missing star Anthony Edwards, while DEN is also dealing with multiple key absences (Watson, Nnaji, Jones).","Rest and back-to-backs are even for both sides."],"narrative":"Despite Denver's vastly superior rolling form metrics (+9.6 differential), the model predicts a slight edge to Minnesota (54.1%). Both teams face significant injury challenges, with MIN missing star Anthony Edwards and DEN dealing with multiple key absences. The prediction suggests that the combined impact of injuries and historical matchup data outweighs Denver's current strong run, leading to a near-even contest.","missing":[]}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</si>
</sst>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
    <numFmt numFmtId="166" formatCode="0.0"/>
  </numFmts>
  <fonts count="6">
    <font>
      <sz val="10.0"/>
      <color rgb="FF000000"/>
      <name val="Arial"/>
      <scheme val="minor"/>
    </font>
    <font>
      <b/>
      <sz val="16.0"/>
      <color rgb="FF1E1E1E"/>
      <name val="Arial"/>
      <scheme val="minor"/>
    </font>
    <font>
      <i/>
      <color rgb="FF595959"/>
      <name val="Arial"/>
      <scheme val="minor"/>
    </font>
    <font>
      <color theme="1"/>
      <name val="Arial"/>
      <scheme val="minor"/>
    </font>
    <font>
      <b/>
      <color theme="1"/>
      <name val="Arial"/>
      <scheme val="minor"/>
    </font>
    <font>
      <b/>
      <color rgb="FF1E1E1E"/>
      <name val="Arial"/>
      <scheme val="minor"/>
    </font>
  </fonts>
  <fills count="4">
    <fill>
      <patternFill patternType="none"/>
    </fill>
    <fill>
      <patternFill patternType="lightGray"/>
    </fill>
    <fill>
      <patternFill patternType="solid">
        <fgColor rgb="FFF7F7F7"/>
        <bgColor rgb="FFF7F7F7"/>
      </patternFill>
    </fill>
    <fill>
      <patternFill patternType="solid">
        <fgColor rgb="FFEDEFF2"/>
        <bgColor rgb="FFEDEFF2"/>
      </patternFill>
    </fill>
  </fills>
  <borders count="2">
    <border/>
    <border>
      <bottom style="thin">
        <color rgb="FFA5A5A5"/>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shrinkToFit="0" vertical="center" wrapText="1"/>
    </xf>
    <xf borderId="0" fillId="0" fontId="3" numFmtId="0" xfId="0" applyAlignment="1" applyFont="1">
      <alignment readingOrder="0"/>
    </xf>
    <xf borderId="0" fillId="2" fontId="4" numFmtId="0" xfId="0" applyFill="1" applyFont="1"/>
    <xf borderId="1" fillId="3" fontId="5" numFmtId="0" xfId="0" applyAlignment="1" applyBorder="1" applyFill="1" applyFont="1">
      <alignment horizontal="center" shrinkToFit="0" vertical="center" wrapText="1"/>
    </xf>
    <xf borderId="0" fillId="2" fontId="4" numFmtId="164" xfId="0" applyFont="1" applyNumberFormat="1"/>
    <xf borderId="0" fillId="2" fontId="4" numFmtId="165" xfId="0" applyFont="1" applyNumberFormat="1"/>
    <xf borderId="0" fillId="0" fontId="3" numFmtId="0" xfId="0" applyFont="1"/>
    <xf borderId="0" fillId="0" fontId="2" numFmtId="0" xfId="0" applyAlignment="1" applyFont="1">
      <alignment readingOrder="0" shrinkToFit="0" vertical="center" wrapText="1"/>
    </xf>
    <xf borderId="0" fillId="0" fontId="3" numFmtId="164" xfId="0" applyFont="1" applyNumberFormat="1"/>
    <xf borderId="0" fillId="0" fontId="3" numFmtId="165" xfId="0" applyFont="1" applyNumberFormat="1"/>
    <xf borderId="0" fillId="0" fontId="3" numFmtId="166" xfId="0" applyFont="1" applyNumberFormat="1"/>
    <xf quotePrefix="1" borderId="0" fillId="0" fontId="3" numFmtId="0" xfId="0" applyAlignment="1" applyFont="1">
      <alignment readingOrder="0"/>
    </xf>
    <xf borderId="0" fillId="0" fontId="3" numFmtId="164" xfId="0" applyAlignment="1" applyFont="1" applyNumberFormat="1">
      <alignment readingOrder="0"/>
    </xf>
    <xf borderId="0" fillId="0" fontId="3" numFmtId="165" xfId="0" applyAlignment="1" applyFont="1" applyNumberFormat="1">
      <alignment readingOrder="0"/>
    </xf>
    <xf borderId="0" fillId="0" fontId="3" numFmtId="2" xfId="0" applyAlignment="1" applyFont="1" applyNumberFormat="1">
      <alignment readingOrder="0"/>
    </xf>
    <xf borderId="0" fillId="0" fontId="3" numFmtId="0" xfId="0" applyAlignment="1" applyFont="1">
      <alignment readingOrder="0" shrinkToFit="0" vertical="top" wrapText="1"/>
    </xf>
    <xf borderId="0" fillId="3" fontId="4" numFmtId="0" xfId="0" applyFont="1"/>
    <xf borderId="0" fillId="0" fontId="3" numFmtId="0" xfId="0" applyAlignment="1" applyFont="1">
      <alignment readingOrder="0" shrinkToFit="0" wrapText="1"/>
    </xf>
  </cellXfs>
  <cellStyles count="1">
    <cellStyle xfId="0" name="Normal" builtinId="0"/>
  </cellStyles>
  <dxfs count="2">
    <dxf>
      <font>
        <b/>
      </font>
      <fill>
        <patternFill patternType="solid">
          <fgColor rgb="FFD8F2DD"/>
          <bgColor rgb="FFD8F2DD"/>
        </patternFill>
      </fill>
      <border/>
    </dxf>
    <dxf>
      <font/>
      <fill>
        <patternFill patternType="solid">
          <fgColor rgb="FFF9DDDD"/>
          <bgColor rgb="FFF9DDD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1.38"/>
    <col customWidth="1" min="2" max="3" width="8.25"/>
    <col customWidth="1" min="4" max="4" width="10.13"/>
    <col customWidth="1" min="5" max="5" width="12.0"/>
    <col customWidth="1" min="6" max="6" width="13.25"/>
    <col customWidth="1" min="7" max="8" width="12.0"/>
    <col customWidth="1" min="9" max="9" width="14.5"/>
    <col customWidth="1" min="10" max="10" width="32.63"/>
  </cols>
  <sheetData>
    <row r="1" ht="24.0" customHeight="1">
      <c r="A1" s="1" t="s">
        <v>0</v>
      </c>
    </row>
    <row r="2" ht="28.5" customHeight="1">
      <c r="A2" s="2" t="s">
        <v>2</v>
      </c>
    </row>
    <row r="3">
      <c r="A3" s="3" t="s">
        <v>4</v>
      </c>
      <c r="B3" s="3" t="s">
        <v>4</v>
      </c>
      <c r="C3" s="3" t="s">
        <v>4</v>
      </c>
      <c r="D3" s="3" t="s">
        <v>4</v>
      </c>
      <c r="E3" s="3" t="s">
        <v>4</v>
      </c>
      <c r="F3" s="3" t="s">
        <v>4</v>
      </c>
      <c r="G3" s="3" t="s">
        <v>4</v>
      </c>
      <c r="H3" s="3" t="s">
        <v>4</v>
      </c>
      <c r="I3" s="3" t="s">
        <v>4</v>
      </c>
      <c r="J3" s="3" t="s">
        <v>4</v>
      </c>
      <c r="K3" s="3" t="s">
        <v>4</v>
      </c>
      <c r="L3" s="3" t="s">
        <v>4</v>
      </c>
    </row>
    <row r="4">
      <c r="A4" s="5" t="s">
        <v>6</v>
      </c>
      <c r="B4" s="5" t="s">
        <v>7</v>
      </c>
      <c r="C4" s="5" t="s">
        <v>8</v>
      </c>
      <c r="D4" s="5" t="s">
        <v>5</v>
      </c>
      <c r="E4" s="5" t="s">
        <v>9</v>
      </c>
      <c r="F4" s="5" t="s">
        <v>10</v>
      </c>
      <c r="G4" s="5" t="s">
        <v>11</v>
      </c>
      <c r="H4" s="5" t="s">
        <v>12</v>
      </c>
      <c r="I4" s="5" t="s">
        <v>13</v>
      </c>
      <c r="J4" s="5" t="s">
        <v>14</v>
      </c>
      <c r="K4" s="3" t="s">
        <v>4</v>
      </c>
      <c r="L4" s="3" t="s">
        <v>4</v>
      </c>
    </row>
    <row r="5">
      <c r="A5" s="3" t="s">
        <v>1</v>
      </c>
      <c r="B5" s="8">
        <f>COUNTA('Model A'!A5:A14)</f>
        <v>10</v>
      </c>
      <c r="C5" s="8">
        <f>SUM('Model A'!J5:J14)</f>
        <v>5</v>
      </c>
      <c r="D5" s="10">
        <f t="shared" ref="D5:D7" si="1">C5/B5</f>
        <v>0.5</v>
      </c>
      <c r="E5" s="11">
        <f>SUM('Model A'!M5:M14)</f>
        <v>-137.4615356</v>
      </c>
      <c r="F5" s="10">
        <f>AVERAGE('Model A'!G5:G14)</f>
        <v>0.51799</v>
      </c>
      <c r="G5" s="12">
        <f>AVERAGE('Model A'!O5:O14)</f>
        <v>0</v>
      </c>
      <c r="H5" s="8">
        <f>SUM('Model A'!Q5:Q14)</f>
        <v>0</v>
      </c>
      <c r="I5" s="12">
        <f>AVERAGE('Model A'!R5:R14)</f>
        <v>0</v>
      </c>
      <c r="J5" s="3" t="s">
        <v>37</v>
      </c>
      <c r="K5" s="3" t="s">
        <v>4</v>
      </c>
      <c r="L5" s="3" t="s">
        <v>4</v>
      </c>
    </row>
    <row r="6">
      <c r="A6" s="3" t="s">
        <v>15</v>
      </c>
      <c r="B6" s="8">
        <f>COUNTA('Model B'!A5:A14)</f>
        <v>10</v>
      </c>
      <c r="C6" s="8">
        <f>SUM('Model B'!J5:J14)</f>
        <v>4</v>
      </c>
      <c r="D6" s="10">
        <f t="shared" si="1"/>
        <v>0.4</v>
      </c>
      <c r="E6" s="11">
        <f>SUM('Model B'!M5:M14)</f>
        <v>-429.7977021</v>
      </c>
      <c r="F6" s="10">
        <f>AVERAGE('Model B'!G5:G14)</f>
        <v>0.501</v>
      </c>
      <c r="G6" s="12">
        <f>AVERAGE('Model B'!O5:O14)</f>
        <v>5</v>
      </c>
      <c r="H6" s="8">
        <f>SUM('Model B'!Q5:Q14)</f>
        <v>0</v>
      </c>
      <c r="I6" s="12">
        <f>AVERAGE('Model B'!R5:R14)</f>
        <v>45.66</v>
      </c>
      <c r="J6" s="3" t="s">
        <v>50</v>
      </c>
      <c r="K6" s="3" t="s">
        <v>4</v>
      </c>
      <c r="L6" s="3" t="s">
        <v>4</v>
      </c>
    </row>
    <row r="7">
      <c r="A7" s="3" t="s">
        <v>16</v>
      </c>
      <c r="B7" s="8">
        <f>COUNTA('Model C'!A5:A14)</f>
        <v>10</v>
      </c>
      <c r="C7" s="8">
        <f>SUM('Model C'!J5:J14)</f>
        <v>6</v>
      </c>
      <c r="D7" s="10">
        <f t="shared" si="1"/>
        <v>0.6</v>
      </c>
      <c r="E7" s="11">
        <f>SUM('Model C'!M5:M14)</f>
        <v>27.34575013</v>
      </c>
      <c r="F7" s="10">
        <f>AVERAGE('Model C'!G5:G14)</f>
        <v>0.50385</v>
      </c>
      <c r="G7" s="12">
        <f>AVERAGE('Model C'!O5:O14)</f>
        <v>6</v>
      </c>
      <c r="H7" s="8">
        <f>SUM('Model C'!Q5:Q14)</f>
        <v>0</v>
      </c>
      <c r="I7" s="12">
        <f>AVERAGE('Model C'!R5:R14)</f>
        <v>42.41</v>
      </c>
      <c r="J7" s="3" t="s">
        <v>72</v>
      </c>
      <c r="K7" s="3" t="s">
        <v>4</v>
      </c>
      <c r="L7" s="3" t="s">
        <v>4</v>
      </c>
    </row>
    <row r="8">
      <c r="A8" s="3" t="s">
        <v>4</v>
      </c>
      <c r="B8" s="3" t="s">
        <v>4</v>
      </c>
      <c r="C8" s="3" t="s">
        <v>4</v>
      </c>
      <c r="D8" s="3" t="s">
        <v>4</v>
      </c>
      <c r="E8" s="3" t="s">
        <v>4</v>
      </c>
      <c r="F8" s="3" t="s">
        <v>4</v>
      </c>
      <c r="G8" s="3" t="s">
        <v>4</v>
      </c>
      <c r="H8" s="3" t="s">
        <v>4</v>
      </c>
      <c r="I8" s="3" t="s">
        <v>4</v>
      </c>
      <c r="J8" s="3" t="s">
        <v>4</v>
      </c>
      <c r="K8" s="3" t="s">
        <v>4</v>
      </c>
      <c r="L8" s="3" t="s">
        <v>4</v>
      </c>
    </row>
    <row r="9">
      <c r="A9" s="18" t="s">
        <v>77</v>
      </c>
    </row>
    <row r="10">
      <c r="A10" s="19" t="s">
        <v>79</v>
      </c>
    </row>
    <row r="11">
      <c r="A11" s="19" t="s">
        <v>80</v>
      </c>
    </row>
    <row r="12">
      <c r="A12" s="19" t="s">
        <v>81</v>
      </c>
    </row>
  </sheetData>
  <mergeCells count="6">
    <mergeCell ref="A1:L1"/>
    <mergeCell ref="A2:L2"/>
    <mergeCell ref="A9:L9"/>
    <mergeCell ref="A10:L10"/>
    <mergeCell ref="A11:L11"/>
    <mergeCell ref="A12:L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3.88"/>
    <col customWidth="1" min="2" max="2" width="12.0"/>
    <col customWidth="1" min="3" max="4" width="8.88"/>
    <col customWidth="1" min="5" max="5" width="12.0"/>
    <col customWidth="1" min="6" max="6" width="22.63"/>
    <col customWidth="1" min="7" max="7" width="11.38"/>
    <col customWidth="1" min="8" max="9" width="12.63"/>
    <col customWidth="1" min="10" max="11" width="12.0"/>
    <col customWidth="1" min="12" max="12" width="14.5"/>
    <col customWidth="1" min="13" max="13" width="12.63"/>
    <col customWidth="1" min="14" max="14" width="42.63"/>
    <col customWidth="1" min="15" max="15" width="10.75"/>
    <col customWidth="1" min="16" max="16" width="12.0"/>
    <col customWidth="1" min="17" max="17" width="11.38"/>
    <col customWidth="1" min="18" max="18" width="13.25"/>
    <col customWidth="1" min="19" max="20" width="12.63"/>
    <col customWidth="1" min="21" max="21" width="30.13"/>
    <col customWidth="1" min="22" max="22" width="52.63"/>
  </cols>
  <sheetData>
    <row r="1" ht="24.0" customHeight="1">
      <c r="A1" s="1" t="s">
        <v>1</v>
      </c>
    </row>
    <row r="2" ht="28.5" customHeight="1">
      <c r="A2" s="2" t="s">
        <v>3</v>
      </c>
    </row>
    <row r="3">
      <c r="A3" s="4" t="s">
        <v>5</v>
      </c>
      <c r="B3" s="6">
        <f>SUM(J5:J14)/COUNTA(A5:A14)</f>
        <v>0.5</v>
      </c>
      <c r="C3" s="4" t="s">
        <v>9</v>
      </c>
      <c r="D3" s="7">
        <f>SUM(M5:M14)</f>
        <v>-137.4615356</v>
      </c>
      <c r="E3" s="4" t="s">
        <v>12</v>
      </c>
      <c r="F3" s="4">
        <f>SUM(Q5:Q14)</f>
        <v>0</v>
      </c>
      <c r="G3" s="4" t="s">
        <v>7</v>
      </c>
      <c r="H3" s="4">
        <f>COUNTA(A5:A14)</f>
        <v>10</v>
      </c>
      <c r="I3" s="3" t="s">
        <v>4</v>
      </c>
      <c r="J3" s="3" t="s">
        <v>4</v>
      </c>
      <c r="K3" s="3" t="s">
        <v>4</v>
      </c>
      <c r="L3" s="3" t="s">
        <v>4</v>
      </c>
      <c r="M3" s="3" t="s">
        <v>4</v>
      </c>
      <c r="N3" s="3" t="s">
        <v>4</v>
      </c>
      <c r="O3" s="3" t="s">
        <v>4</v>
      </c>
      <c r="P3" s="3" t="s">
        <v>4</v>
      </c>
      <c r="Q3" s="3" t="s">
        <v>4</v>
      </c>
      <c r="R3" s="3" t="s">
        <v>4</v>
      </c>
      <c r="S3" s="3" t="s">
        <v>4</v>
      </c>
      <c r="T3" s="3" t="s">
        <v>4</v>
      </c>
      <c r="U3" s="3" t="s">
        <v>4</v>
      </c>
      <c r="V3" s="3" t="s">
        <v>4</v>
      </c>
    </row>
    <row r="4">
      <c r="A4" s="5" t="s">
        <v>19</v>
      </c>
      <c r="B4" s="5" t="s">
        <v>20</v>
      </c>
      <c r="C4" s="5" t="s">
        <v>21</v>
      </c>
      <c r="D4" s="5" t="s">
        <v>22</v>
      </c>
      <c r="E4" s="5" t="s">
        <v>23</v>
      </c>
      <c r="F4" s="5" t="s">
        <v>24</v>
      </c>
      <c r="G4" s="5" t="s">
        <v>25</v>
      </c>
      <c r="H4" s="5" t="s">
        <v>26</v>
      </c>
      <c r="I4" s="5" t="s">
        <v>27</v>
      </c>
      <c r="J4" s="5" t="s">
        <v>28</v>
      </c>
      <c r="K4" s="5" t="s">
        <v>29</v>
      </c>
      <c r="L4" s="5" t="s">
        <v>30</v>
      </c>
      <c r="M4" s="5" t="s">
        <v>9</v>
      </c>
      <c r="N4" s="5" t="s">
        <v>31</v>
      </c>
      <c r="O4" s="5" t="s">
        <v>32</v>
      </c>
      <c r="P4" s="5" t="s">
        <v>33</v>
      </c>
      <c r="Q4" s="5" t="s">
        <v>34</v>
      </c>
      <c r="R4" s="5" t="s">
        <v>35</v>
      </c>
      <c r="S4" s="5" t="s">
        <v>36</v>
      </c>
      <c r="T4" s="5" t="s">
        <v>38</v>
      </c>
      <c r="U4" s="5" t="s">
        <v>39</v>
      </c>
      <c r="V4" s="5" t="s">
        <v>40</v>
      </c>
    </row>
    <row r="5" ht="40.5" customHeight="1">
      <c r="A5" s="3" t="s">
        <v>41</v>
      </c>
      <c r="B5" s="13" t="s">
        <v>42</v>
      </c>
      <c r="C5" s="3" t="s">
        <v>43</v>
      </c>
      <c r="D5" s="3" t="s">
        <v>44</v>
      </c>
      <c r="E5" s="13" t="s">
        <v>45</v>
      </c>
      <c r="F5" s="3" t="s">
        <v>46</v>
      </c>
      <c r="G5" s="14">
        <v>0.5559</v>
      </c>
      <c r="H5" s="3" t="s">
        <v>44</v>
      </c>
      <c r="I5" s="3" t="s">
        <v>44</v>
      </c>
      <c r="J5" s="8">
        <f t="shared" ref="J5:J14" si="1">IF(H5=I5,1,0)</f>
        <v>1</v>
      </c>
      <c r="K5" s="15">
        <v>100.0</v>
      </c>
      <c r="L5" s="16">
        <v>1.5395645124767854</v>
      </c>
      <c r="M5" s="11">
        <f t="shared" ref="M5:M14" si="2">IF(J5=1,K5*(L5-1),-K5)</f>
        <v>53.95645125</v>
      </c>
      <c r="N5" s="17" t="s">
        <v>48</v>
      </c>
      <c r="O5" s="3">
        <v>0.0</v>
      </c>
      <c r="P5" s="3">
        <v>0.0</v>
      </c>
      <c r="Q5" s="3">
        <v>0.0</v>
      </c>
      <c r="R5" s="3">
        <v>0.0</v>
      </c>
      <c r="S5" s="3">
        <v>0.0</v>
      </c>
      <c r="T5" s="3">
        <v>0.0</v>
      </c>
      <c r="U5" s="3" t="s">
        <v>51</v>
      </c>
      <c r="V5" s="17" t="s">
        <v>4</v>
      </c>
    </row>
    <row r="6" ht="40.5" customHeight="1">
      <c r="A6" s="3" t="s">
        <v>53</v>
      </c>
      <c r="B6" s="13" t="s">
        <v>55</v>
      </c>
      <c r="C6" s="3" t="s">
        <v>56</v>
      </c>
      <c r="D6" s="3" t="s">
        <v>57</v>
      </c>
      <c r="E6" s="13" t="s">
        <v>45</v>
      </c>
      <c r="F6" s="3" t="s">
        <v>46</v>
      </c>
      <c r="G6" s="14">
        <v>0.4669</v>
      </c>
      <c r="H6" s="3" t="s">
        <v>56</v>
      </c>
      <c r="I6" s="3" t="s">
        <v>57</v>
      </c>
      <c r="J6" s="8">
        <f t="shared" si="1"/>
        <v>0</v>
      </c>
      <c r="K6" s="15">
        <v>100.0</v>
      </c>
      <c r="L6" s="16">
        <v>2.487057668129615</v>
      </c>
      <c r="M6" s="11">
        <f t="shared" si="2"/>
        <v>-100</v>
      </c>
      <c r="N6" s="17" t="s">
        <v>48</v>
      </c>
      <c r="O6" s="3">
        <v>0.0</v>
      </c>
      <c r="P6" s="3">
        <v>0.0</v>
      </c>
      <c r="Q6" s="3">
        <v>0.0</v>
      </c>
      <c r="R6" s="3">
        <v>0.0</v>
      </c>
      <c r="S6" s="3">
        <v>0.0</v>
      </c>
      <c r="T6" s="3">
        <v>0.0</v>
      </c>
      <c r="U6" s="3" t="s">
        <v>51</v>
      </c>
      <c r="V6" s="17" t="s">
        <v>4</v>
      </c>
    </row>
    <row r="7" ht="40.5" customHeight="1">
      <c r="A7" s="3" t="s">
        <v>62</v>
      </c>
      <c r="B7" s="13" t="s">
        <v>63</v>
      </c>
      <c r="C7" s="3" t="s">
        <v>64</v>
      </c>
      <c r="D7" s="3" t="s">
        <v>65</v>
      </c>
      <c r="E7" s="13" t="s">
        <v>45</v>
      </c>
      <c r="F7" s="3" t="s">
        <v>46</v>
      </c>
      <c r="G7" s="14">
        <v>0.6451</v>
      </c>
      <c r="H7" s="3" t="s">
        <v>65</v>
      </c>
      <c r="I7" s="3" t="s">
        <v>64</v>
      </c>
      <c r="J7" s="8">
        <f t="shared" si="1"/>
        <v>0</v>
      </c>
      <c r="K7" s="15">
        <v>100.0</v>
      </c>
      <c r="L7" s="16">
        <v>2.3216361868264386</v>
      </c>
      <c r="M7" s="11">
        <f t="shared" si="2"/>
        <v>-100</v>
      </c>
      <c r="N7" s="17" t="s">
        <v>48</v>
      </c>
      <c r="O7" s="3">
        <v>0.0</v>
      </c>
      <c r="P7" s="3">
        <v>0.0</v>
      </c>
      <c r="Q7" s="3">
        <v>0.0</v>
      </c>
      <c r="R7" s="3">
        <v>0.0</v>
      </c>
      <c r="S7" s="3">
        <v>0.0</v>
      </c>
      <c r="T7" s="3">
        <v>0.0</v>
      </c>
      <c r="U7" s="3" t="s">
        <v>51</v>
      </c>
      <c r="V7" s="17" t="s">
        <v>4</v>
      </c>
    </row>
    <row r="8" ht="40.5" customHeight="1">
      <c r="A8" s="3" t="s">
        <v>68</v>
      </c>
      <c r="B8" s="13" t="s">
        <v>69</v>
      </c>
      <c r="C8" s="3" t="s">
        <v>70</v>
      </c>
      <c r="D8" s="3" t="s">
        <v>71</v>
      </c>
      <c r="E8" s="13" t="s">
        <v>45</v>
      </c>
      <c r="F8" s="3" t="s">
        <v>46</v>
      </c>
      <c r="G8" s="14">
        <v>0.3416</v>
      </c>
      <c r="H8" s="3" t="s">
        <v>70</v>
      </c>
      <c r="I8" s="3" t="s">
        <v>70</v>
      </c>
      <c r="J8" s="8">
        <f t="shared" si="1"/>
        <v>1</v>
      </c>
      <c r="K8" s="15">
        <v>100.0</v>
      </c>
      <c r="L8" s="16">
        <v>1.0944003516016714</v>
      </c>
      <c r="M8" s="11">
        <f t="shared" si="2"/>
        <v>9.44003516</v>
      </c>
      <c r="N8" s="17" t="s">
        <v>48</v>
      </c>
      <c r="O8" s="3">
        <v>0.0</v>
      </c>
      <c r="P8" s="3">
        <v>0.0</v>
      </c>
      <c r="Q8" s="3">
        <v>0.0</v>
      </c>
      <c r="R8" s="3">
        <v>0.0</v>
      </c>
      <c r="S8" s="3">
        <v>0.0</v>
      </c>
      <c r="T8" s="3">
        <v>0.0</v>
      </c>
      <c r="U8" s="3" t="s">
        <v>51</v>
      </c>
      <c r="V8" s="17" t="s">
        <v>4</v>
      </c>
    </row>
    <row r="9" ht="40.5" customHeight="1">
      <c r="A9" s="3" t="s">
        <v>75</v>
      </c>
      <c r="B9" s="13" t="s">
        <v>76</v>
      </c>
      <c r="C9" s="3" t="s">
        <v>56</v>
      </c>
      <c r="D9" s="3" t="s">
        <v>78</v>
      </c>
      <c r="E9" s="13" t="s">
        <v>45</v>
      </c>
      <c r="F9" s="3" t="s">
        <v>46</v>
      </c>
      <c r="G9" s="14">
        <v>0.2362</v>
      </c>
      <c r="H9" s="3" t="s">
        <v>56</v>
      </c>
      <c r="I9" s="3" t="s">
        <v>78</v>
      </c>
      <c r="J9" s="8">
        <f t="shared" si="1"/>
        <v>0</v>
      </c>
      <c r="K9" s="15">
        <v>100.0</v>
      </c>
      <c r="L9" s="16">
        <v>4.253041001352346</v>
      </c>
      <c r="M9" s="11">
        <f t="shared" si="2"/>
        <v>-100</v>
      </c>
      <c r="N9" s="17" t="s">
        <v>48</v>
      </c>
      <c r="O9" s="3">
        <v>0.0</v>
      </c>
      <c r="P9" s="3">
        <v>0.0</v>
      </c>
      <c r="Q9" s="3">
        <v>0.0</v>
      </c>
      <c r="R9" s="3">
        <v>0.0</v>
      </c>
      <c r="S9" s="3">
        <v>0.0</v>
      </c>
      <c r="T9" s="3">
        <v>0.0</v>
      </c>
      <c r="U9" s="3" t="s">
        <v>51</v>
      </c>
      <c r="V9" s="17" t="s">
        <v>4</v>
      </c>
    </row>
    <row r="10" ht="40.5" customHeight="1">
      <c r="A10" s="3" t="s">
        <v>84</v>
      </c>
      <c r="B10" s="13" t="s">
        <v>85</v>
      </c>
      <c r="C10" s="3" t="s">
        <v>78</v>
      </c>
      <c r="D10" s="3" t="s">
        <v>43</v>
      </c>
      <c r="E10" s="13" t="s">
        <v>45</v>
      </c>
      <c r="F10" s="3" t="s">
        <v>46</v>
      </c>
      <c r="G10" s="14">
        <v>0.8889</v>
      </c>
      <c r="H10" s="3" t="s">
        <v>43</v>
      </c>
      <c r="I10" s="3" t="s">
        <v>43</v>
      </c>
      <c r="J10" s="8">
        <f t="shared" si="1"/>
        <v>1</v>
      </c>
      <c r="K10" s="15">
        <v>100.0</v>
      </c>
      <c r="L10" s="16">
        <v>1.419985256803251</v>
      </c>
      <c r="M10" s="11">
        <f t="shared" si="2"/>
        <v>41.99852568</v>
      </c>
      <c r="N10" s="17" t="s">
        <v>48</v>
      </c>
      <c r="O10" s="3">
        <v>0.0</v>
      </c>
      <c r="P10" s="3">
        <v>0.0</v>
      </c>
      <c r="Q10" s="3">
        <v>0.0</v>
      </c>
      <c r="R10" s="3">
        <v>0.0</v>
      </c>
      <c r="S10" s="3">
        <v>0.0</v>
      </c>
      <c r="T10" s="3">
        <v>0.0</v>
      </c>
      <c r="U10" s="3" t="s">
        <v>51</v>
      </c>
      <c r="V10" s="17" t="s">
        <v>4</v>
      </c>
    </row>
    <row r="11" ht="40.5" customHeight="1">
      <c r="A11" s="3" t="s">
        <v>88</v>
      </c>
      <c r="B11" s="13" t="s">
        <v>89</v>
      </c>
      <c r="C11" s="3" t="s">
        <v>90</v>
      </c>
      <c r="D11" s="3" t="s">
        <v>91</v>
      </c>
      <c r="E11" s="13" t="s">
        <v>45</v>
      </c>
      <c r="F11" s="3" t="s">
        <v>46</v>
      </c>
      <c r="G11" s="14">
        <v>0.7708</v>
      </c>
      <c r="H11" s="3" t="s">
        <v>91</v>
      </c>
      <c r="I11" s="3" t="s">
        <v>90</v>
      </c>
      <c r="J11" s="8">
        <f t="shared" si="1"/>
        <v>0</v>
      </c>
      <c r="K11" s="15">
        <v>100.0</v>
      </c>
      <c r="L11" s="16">
        <v>1.4765224814319189</v>
      </c>
      <c r="M11" s="11">
        <f t="shared" si="2"/>
        <v>-100</v>
      </c>
      <c r="N11" s="17" t="s">
        <v>48</v>
      </c>
      <c r="O11" s="3">
        <v>0.0</v>
      </c>
      <c r="P11" s="3">
        <v>0.0</v>
      </c>
      <c r="Q11" s="3">
        <v>0.0</v>
      </c>
      <c r="R11" s="3">
        <v>0.0</v>
      </c>
      <c r="S11" s="3">
        <v>0.0</v>
      </c>
      <c r="T11" s="3">
        <v>0.0</v>
      </c>
      <c r="U11" s="3" t="s">
        <v>51</v>
      </c>
      <c r="V11" s="17" t="s">
        <v>4</v>
      </c>
    </row>
    <row r="12" ht="40.5" customHeight="1">
      <c r="A12" s="3" t="s">
        <v>94</v>
      </c>
      <c r="B12" s="13" t="s">
        <v>95</v>
      </c>
      <c r="C12" s="3" t="s">
        <v>43</v>
      </c>
      <c r="D12" s="3" t="s">
        <v>70</v>
      </c>
      <c r="E12" s="13" t="s">
        <v>45</v>
      </c>
      <c r="F12" s="3" t="s">
        <v>46</v>
      </c>
      <c r="G12" s="14">
        <v>0.1737</v>
      </c>
      <c r="H12" s="3" t="s">
        <v>43</v>
      </c>
      <c r="I12" s="3" t="s">
        <v>70</v>
      </c>
      <c r="J12" s="8">
        <f t="shared" si="1"/>
        <v>0</v>
      </c>
      <c r="K12" s="15">
        <v>100.0</v>
      </c>
      <c r="L12" s="16">
        <v>1.688418440706501</v>
      </c>
      <c r="M12" s="11">
        <f t="shared" si="2"/>
        <v>-100</v>
      </c>
      <c r="N12" s="17" t="s">
        <v>48</v>
      </c>
      <c r="O12" s="3">
        <v>0.0</v>
      </c>
      <c r="P12" s="3">
        <v>0.0</v>
      </c>
      <c r="Q12" s="3">
        <v>0.0</v>
      </c>
      <c r="R12" s="3">
        <v>0.0</v>
      </c>
      <c r="S12" s="3">
        <v>0.0</v>
      </c>
      <c r="T12" s="3">
        <v>0.0</v>
      </c>
      <c r="U12" s="3" t="s">
        <v>51</v>
      </c>
      <c r="V12" s="17" t="s">
        <v>4</v>
      </c>
    </row>
    <row r="13" ht="40.5" customHeight="1">
      <c r="A13" s="3" t="s">
        <v>101</v>
      </c>
      <c r="B13" s="13" t="s">
        <v>103</v>
      </c>
      <c r="C13" s="3" t="s">
        <v>56</v>
      </c>
      <c r="D13" s="3" t="s">
        <v>104</v>
      </c>
      <c r="E13" s="13" t="s">
        <v>45</v>
      </c>
      <c r="F13" s="3" t="s">
        <v>46</v>
      </c>
      <c r="G13" s="14">
        <v>0.6414</v>
      </c>
      <c r="H13" s="3" t="s">
        <v>104</v>
      </c>
      <c r="I13" s="3" t="s">
        <v>104</v>
      </c>
      <c r="J13" s="8">
        <f t="shared" si="1"/>
        <v>1</v>
      </c>
      <c r="K13" s="15">
        <v>100.0</v>
      </c>
      <c r="L13" s="16">
        <v>1.447485891745253</v>
      </c>
      <c r="M13" s="11">
        <f t="shared" si="2"/>
        <v>44.74858917</v>
      </c>
      <c r="N13" s="17" t="s">
        <v>48</v>
      </c>
      <c r="O13" s="3">
        <v>0.0</v>
      </c>
      <c r="P13" s="3">
        <v>0.0</v>
      </c>
      <c r="Q13" s="3">
        <v>0.0</v>
      </c>
      <c r="R13" s="3">
        <v>0.0</v>
      </c>
      <c r="S13" s="3">
        <v>0.0</v>
      </c>
      <c r="T13" s="3">
        <v>0.0</v>
      </c>
      <c r="U13" s="3" t="s">
        <v>51</v>
      </c>
      <c r="V13" s="17" t="s">
        <v>4</v>
      </c>
    </row>
    <row r="14" ht="40.5" customHeight="1">
      <c r="A14" s="3" t="s">
        <v>111</v>
      </c>
      <c r="B14" s="13" t="s">
        <v>113</v>
      </c>
      <c r="C14" s="3" t="s">
        <v>114</v>
      </c>
      <c r="D14" s="3" t="s">
        <v>116</v>
      </c>
      <c r="E14" s="13" t="s">
        <v>45</v>
      </c>
      <c r="F14" s="3" t="s">
        <v>46</v>
      </c>
      <c r="G14" s="14">
        <v>0.4594</v>
      </c>
      <c r="H14" s="3" t="s">
        <v>114</v>
      </c>
      <c r="I14" s="3" t="s">
        <v>114</v>
      </c>
      <c r="J14" s="8">
        <f t="shared" si="1"/>
        <v>1</v>
      </c>
      <c r="K14" s="15">
        <v>100.0</v>
      </c>
      <c r="L14" s="16">
        <v>3.123948630907922</v>
      </c>
      <c r="M14" s="11">
        <f t="shared" si="2"/>
        <v>212.3948631</v>
      </c>
      <c r="N14" s="17" t="s">
        <v>48</v>
      </c>
      <c r="O14" s="3">
        <v>0.0</v>
      </c>
      <c r="P14" s="3">
        <v>0.0</v>
      </c>
      <c r="Q14" s="3">
        <v>0.0</v>
      </c>
      <c r="R14" s="3">
        <v>0.0</v>
      </c>
      <c r="S14" s="3">
        <v>0.0</v>
      </c>
      <c r="T14" s="3">
        <v>0.0</v>
      </c>
      <c r="U14" s="3" t="s">
        <v>51</v>
      </c>
      <c r="V14" s="17" t="s">
        <v>4</v>
      </c>
    </row>
  </sheetData>
  <autoFilter ref="$A$4:$V$14"/>
  <mergeCells count="2">
    <mergeCell ref="A1:V1"/>
    <mergeCell ref="A2:V2"/>
  </mergeCells>
  <conditionalFormatting sqref="J5:J14">
    <cfRule type="cellIs" dxfId="0" priority="1" stopIfTrue="1" operator="equal">
      <formula>1</formula>
    </cfRule>
  </conditionalFormatting>
  <conditionalFormatting sqref="J5:J14">
    <cfRule type="cellIs" dxfId="1" priority="2" stopIfTrue="1" operator="equal">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3.88"/>
    <col customWidth="1" min="2" max="2" width="12.0"/>
    <col customWidth="1" min="3" max="4" width="8.88"/>
    <col customWidth="1" min="5" max="5" width="12.0"/>
    <col customWidth="1" min="6" max="6" width="22.63"/>
    <col customWidth="1" min="7" max="7" width="11.38"/>
    <col customWidth="1" min="8" max="9" width="12.63"/>
    <col customWidth="1" min="10" max="11" width="12.0"/>
    <col customWidth="1" min="12" max="12" width="14.5"/>
    <col customWidth="1" min="13" max="13" width="12.63"/>
    <col customWidth="1" min="14" max="14" width="42.63"/>
    <col customWidth="1" min="15" max="15" width="10.75"/>
    <col customWidth="1" min="16" max="16" width="12.0"/>
    <col customWidth="1" min="17" max="17" width="11.38"/>
    <col customWidth="1" min="18" max="18" width="13.25"/>
    <col customWidth="1" min="19" max="20" width="12.63"/>
    <col customWidth="1" min="21" max="21" width="30.13"/>
    <col customWidth="1" min="22" max="22" width="52.63"/>
  </cols>
  <sheetData>
    <row r="1" ht="24.0" customHeight="1">
      <c r="A1" s="1" t="s">
        <v>15</v>
      </c>
    </row>
    <row r="2" ht="28.5" customHeight="1">
      <c r="A2" s="2" t="s">
        <v>17</v>
      </c>
    </row>
    <row r="3">
      <c r="A3" s="4" t="s">
        <v>5</v>
      </c>
      <c r="B3" s="6">
        <f>SUM(J5:J14)/COUNTA(A5:A14)</f>
        <v>0.4</v>
      </c>
      <c r="C3" s="4" t="s">
        <v>9</v>
      </c>
      <c r="D3" s="7">
        <f>SUM(M5:M14)</f>
        <v>-429.7977021</v>
      </c>
      <c r="E3" s="4" t="s">
        <v>12</v>
      </c>
      <c r="F3" s="4">
        <f>SUM(Q5:Q14)</f>
        <v>0</v>
      </c>
      <c r="G3" s="4" t="s">
        <v>7</v>
      </c>
      <c r="H3" s="4">
        <f>COUNTA(A5:A14)</f>
        <v>10</v>
      </c>
      <c r="I3" s="3" t="s">
        <v>4</v>
      </c>
      <c r="J3" s="3" t="s">
        <v>4</v>
      </c>
      <c r="K3" s="3" t="s">
        <v>4</v>
      </c>
      <c r="L3" s="3" t="s">
        <v>4</v>
      </c>
      <c r="M3" s="3" t="s">
        <v>4</v>
      </c>
      <c r="N3" s="3" t="s">
        <v>4</v>
      </c>
      <c r="O3" s="3" t="s">
        <v>4</v>
      </c>
      <c r="P3" s="3" t="s">
        <v>4</v>
      </c>
      <c r="Q3" s="3" t="s">
        <v>4</v>
      </c>
      <c r="R3" s="3" t="s">
        <v>4</v>
      </c>
      <c r="S3" s="3" t="s">
        <v>4</v>
      </c>
      <c r="T3" s="3" t="s">
        <v>4</v>
      </c>
      <c r="U3" s="3" t="s">
        <v>4</v>
      </c>
      <c r="V3" s="3" t="s">
        <v>4</v>
      </c>
    </row>
    <row r="4">
      <c r="A4" s="5" t="s">
        <v>19</v>
      </c>
      <c r="B4" s="5" t="s">
        <v>20</v>
      </c>
      <c r="C4" s="5" t="s">
        <v>21</v>
      </c>
      <c r="D4" s="5" t="s">
        <v>22</v>
      </c>
      <c r="E4" s="5" t="s">
        <v>23</v>
      </c>
      <c r="F4" s="5" t="s">
        <v>24</v>
      </c>
      <c r="G4" s="5" t="s">
        <v>25</v>
      </c>
      <c r="H4" s="5" t="s">
        <v>26</v>
      </c>
      <c r="I4" s="5" t="s">
        <v>27</v>
      </c>
      <c r="J4" s="5" t="s">
        <v>28</v>
      </c>
      <c r="K4" s="5" t="s">
        <v>29</v>
      </c>
      <c r="L4" s="5" t="s">
        <v>30</v>
      </c>
      <c r="M4" s="5" t="s">
        <v>9</v>
      </c>
      <c r="N4" s="5" t="s">
        <v>31</v>
      </c>
      <c r="O4" s="5" t="s">
        <v>32</v>
      </c>
      <c r="P4" s="5" t="s">
        <v>33</v>
      </c>
      <c r="Q4" s="5" t="s">
        <v>34</v>
      </c>
      <c r="R4" s="5" t="s">
        <v>35</v>
      </c>
      <c r="S4" s="5" t="s">
        <v>36</v>
      </c>
      <c r="T4" s="5" t="s">
        <v>38</v>
      </c>
      <c r="U4" s="5" t="s">
        <v>39</v>
      </c>
      <c r="V4" s="5" t="s">
        <v>40</v>
      </c>
    </row>
    <row r="5" ht="40.5" customHeight="1">
      <c r="A5" s="3" t="s">
        <v>41</v>
      </c>
      <c r="B5" s="13" t="s">
        <v>42</v>
      </c>
      <c r="C5" s="3" t="s">
        <v>43</v>
      </c>
      <c r="D5" s="3" t="s">
        <v>44</v>
      </c>
      <c r="E5" s="13" t="s">
        <v>45</v>
      </c>
      <c r="F5" s="3" t="s">
        <v>47</v>
      </c>
      <c r="G5" s="14">
        <v>0.68</v>
      </c>
      <c r="H5" s="3" t="s">
        <v>44</v>
      </c>
      <c r="I5" s="3" t="s">
        <v>44</v>
      </c>
      <c r="J5" s="8">
        <f t="shared" ref="J5:J14" si="1">IF(H5=I5,1,0)</f>
        <v>1</v>
      </c>
      <c r="K5" s="15">
        <v>100.0</v>
      </c>
      <c r="L5" s="16">
        <v>1.5395645124767854</v>
      </c>
      <c r="M5" s="11">
        <f t="shared" ref="M5:M14" si="2">IF(J5=1,K5*(L5-1),-K5)</f>
        <v>53.95645125</v>
      </c>
      <c r="N5" s="17" t="s">
        <v>49</v>
      </c>
      <c r="O5" s="3">
        <v>5.0</v>
      </c>
      <c r="P5" s="3">
        <v>5.0</v>
      </c>
      <c r="Q5" s="3">
        <v>0.0</v>
      </c>
      <c r="R5" s="3">
        <v>42.4</v>
      </c>
      <c r="S5" s="3">
        <v>16171.0</v>
      </c>
      <c r="T5" s="3">
        <v>2226.0</v>
      </c>
      <c r="U5" s="3" t="s">
        <v>52</v>
      </c>
      <c r="V5" s="17" t="s">
        <v>54</v>
      </c>
    </row>
    <row r="6" ht="40.5" customHeight="1">
      <c r="A6" s="3" t="s">
        <v>53</v>
      </c>
      <c r="B6" s="13" t="s">
        <v>55</v>
      </c>
      <c r="C6" s="3" t="s">
        <v>56</v>
      </c>
      <c r="D6" s="3" t="s">
        <v>57</v>
      </c>
      <c r="E6" s="13" t="s">
        <v>45</v>
      </c>
      <c r="F6" s="3" t="s">
        <v>47</v>
      </c>
      <c r="G6" s="14">
        <v>0.4</v>
      </c>
      <c r="H6" s="3" t="s">
        <v>56</v>
      </c>
      <c r="I6" s="3" t="s">
        <v>57</v>
      </c>
      <c r="J6" s="8">
        <f t="shared" si="1"/>
        <v>0</v>
      </c>
      <c r="K6" s="15">
        <v>100.0</v>
      </c>
      <c r="L6" s="16">
        <v>2.487057668129615</v>
      </c>
      <c r="M6" s="11">
        <f t="shared" si="2"/>
        <v>-100</v>
      </c>
      <c r="N6" s="17" t="s">
        <v>49</v>
      </c>
      <c r="O6" s="3">
        <v>5.0</v>
      </c>
      <c r="P6" s="3">
        <v>5.0</v>
      </c>
      <c r="Q6" s="3">
        <v>0.0</v>
      </c>
      <c r="R6" s="3">
        <v>46.2</v>
      </c>
      <c r="S6" s="3">
        <v>18262.0</v>
      </c>
      <c r="T6" s="3">
        <v>2193.0</v>
      </c>
      <c r="U6" s="3" t="s">
        <v>52</v>
      </c>
      <c r="V6" s="17" t="s">
        <v>61</v>
      </c>
    </row>
    <row r="7" ht="40.5" customHeight="1">
      <c r="A7" s="3" t="s">
        <v>62</v>
      </c>
      <c r="B7" s="13" t="s">
        <v>63</v>
      </c>
      <c r="C7" s="3" t="s">
        <v>64</v>
      </c>
      <c r="D7" s="3" t="s">
        <v>65</v>
      </c>
      <c r="E7" s="13" t="s">
        <v>45</v>
      </c>
      <c r="F7" s="3" t="s">
        <v>47</v>
      </c>
      <c r="G7" s="14">
        <v>0.3</v>
      </c>
      <c r="H7" s="3" t="s">
        <v>64</v>
      </c>
      <c r="I7" s="3" t="s">
        <v>64</v>
      </c>
      <c r="J7" s="8">
        <f t="shared" si="1"/>
        <v>1</v>
      </c>
      <c r="K7" s="15">
        <v>100.0</v>
      </c>
      <c r="L7" s="16">
        <v>1.648072857790548</v>
      </c>
      <c r="M7" s="11">
        <f t="shared" si="2"/>
        <v>64.80728578</v>
      </c>
      <c r="N7" s="17" t="s">
        <v>49</v>
      </c>
      <c r="O7" s="3">
        <v>5.0</v>
      </c>
      <c r="P7" s="3">
        <v>5.0</v>
      </c>
      <c r="Q7" s="3">
        <v>0.0</v>
      </c>
      <c r="R7" s="3">
        <v>37.6</v>
      </c>
      <c r="S7" s="3">
        <v>17612.0</v>
      </c>
      <c r="T7" s="3">
        <v>1911.0</v>
      </c>
      <c r="U7" s="3" t="s">
        <v>52</v>
      </c>
      <c r="V7" s="17" t="s">
        <v>67</v>
      </c>
    </row>
    <row r="8" ht="40.5" customHeight="1">
      <c r="A8" s="3" t="s">
        <v>68</v>
      </c>
      <c r="B8" s="13" t="s">
        <v>69</v>
      </c>
      <c r="C8" s="3" t="s">
        <v>70</v>
      </c>
      <c r="D8" s="3" t="s">
        <v>71</v>
      </c>
      <c r="E8" s="13" t="s">
        <v>45</v>
      </c>
      <c r="F8" s="3" t="s">
        <v>47</v>
      </c>
      <c r="G8" s="14">
        <v>0.48</v>
      </c>
      <c r="H8" s="3" t="s">
        <v>70</v>
      </c>
      <c r="I8" s="3" t="s">
        <v>70</v>
      </c>
      <c r="J8" s="8">
        <f t="shared" si="1"/>
        <v>1</v>
      </c>
      <c r="K8" s="15">
        <v>100.0</v>
      </c>
      <c r="L8" s="16">
        <v>1.0944003516016714</v>
      </c>
      <c r="M8" s="11">
        <f t="shared" si="2"/>
        <v>9.44003516</v>
      </c>
      <c r="N8" s="17" t="s">
        <v>49</v>
      </c>
      <c r="O8" s="3">
        <v>5.0</v>
      </c>
      <c r="P8" s="3">
        <v>5.0</v>
      </c>
      <c r="Q8" s="3">
        <v>0.0</v>
      </c>
      <c r="R8" s="3">
        <v>34.8</v>
      </c>
      <c r="S8" s="3">
        <v>18333.0</v>
      </c>
      <c r="T8" s="3">
        <v>1745.0</v>
      </c>
      <c r="U8" s="3" t="s">
        <v>52</v>
      </c>
      <c r="V8" s="17" t="s">
        <v>74</v>
      </c>
    </row>
    <row r="9" ht="40.5" customHeight="1">
      <c r="A9" s="3" t="s">
        <v>75</v>
      </c>
      <c r="B9" s="13" t="s">
        <v>76</v>
      </c>
      <c r="C9" s="3" t="s">
        <v>56</v>
      </c>
      <c r="D9" s="3" t="s">
        <v>78</v>
      </c>
      <c r="E9" s="13" t="s">
        <v>45</v>
      </c>
      <c r="F9" s="3" t="s">
        <v>47</v>
      </c>
      <c r="G9" s="14">
        <v>0.32</v>
      </c>
      <c r="H9" s="3" t="s">
        <v>56</v>
      </c>
      <c r="I9" s="3" t="s">
        <v>78</v>
      </c>
      <c r="J9" s="8">
        <f t="shared" si="1"/>
        <v>0</v>
      </c>
      <c r="K9" s="15">
        <v>100.0</v>
      </c>
      <c r="L9" s="16">
        <v>4.253041001352346</v>
      </c>
      <c r="M9" s="11">
        <f t="shared" si="2"/>
        <v>-100</v>
      </c>
      <c r="N9" s="17" t="s">
        <v>49</v>
      </c>
      <c r="O9" s="3">
        <v>5.0</v>
      </c>
      <c r="P9" s="3">
        <v>5.0</v>
      </c>
      <c r="Q9" s="3">
        <v>0.0</v>
      </c>
      <c r="R9" s="3">
        <v>46.7</v>
      </c>
      <c r="S9" s="3">
        <v>16934.0</v>
      </c>
      <c r="T9" s="3">
        <v>1695.0</v>
      </c>
      <c r="U9" s="3" t="s">
        <v>52</v>
      </c>
      <c r="V9" s="17" t="s">
        <v>83</v>
      </c>
    </row>
    <row r="10" ht="40.5" customHeight="1">
      <c r="A10" s="3" t="s">
        <v>84</v>
      </c>
      <c r="B10" s="13" t="s">
        <v>85</v>
      </c>
      <c r="C10" s="3" t="s">
        <v>78</v>
      </c>
      <c r="D10" s="3" t="s">
        <v>43</v>
      </c>
      <c r="E10" s="13" t="s">
        <v>45</v>
      </c>
      <c r="F10" s="3" t="s">
        <v>47</v>
      </c>
      <c r="G10" s="14">
        <v>0.68</v>
      </c>
      <c r="H10" s="3" t="s">
        <v>43</v>
      </c>
      <c r="I10" s="3" t="s">
        <v>43</v>
      </c>
      <c r="J10" s="8">
        <f t="shared" si="1"/>
        <v>1</v>
      </c>
      <c r="K10" s="15">
        <v>100.0</v>
      </c>
      <c r="L10" s="16">
        <v>1.419985256803251</v>
      </c>
      <c r="M10" s="11">
        <f t="shared" si="2"/>
        <v>41.99852568</v>
      </c>
      <c r="N10" s="17" t="s">
        <v>49</v>
      </c>
      <c r="O10" s="3">
        <v>5.0</v>
      </c>
      <c r="P10" s="3">
        <v>5.0</v>
      </c>
      <c r="Q10" s="3">
        <v>0.0</v>
      </c>
      <c r="R10" s="3">
        <v>36.3</v>
      </c>
      <c r="S10" s="3">
        <v>16520.0</v>
      </c>
      <c r="T10" s="3">
        <v>2018.0</v>
      </c>
      <c r="U10" s="3" t="s">
        <v>52</v>
      </c>
      <c r="V10" s="17" t="s">
        <v>87</v>
      </c>
    </row>
    <row r="11" ht="40.5" customHeight="1">
      <c r="A11" s="3" t="s">
        <v>88</v>
      </c>
      <c r="B11" s="13" t="s">
        <v>89</v>
      </c>
      <c r="C11" s="3" t="s">
        <v>90</v>
      </c>
      <c r="D11" s="3" t="s">
        <v>91</v>
      </c>
      <c r="E11" s="13" t="s">
        <v>45</v>
      </c>
      <c r="F11" s="3" t="s">
        <v>47</v>
      </c>
      <c r="G11" s="14">
        <v>0.68</v>
      </c>
      <c r="H11" s="3" t="s">
        <v>91</v>
      </c>
      <c r="I11" s="3" t="s">
        <v>90</v>
      </c>
      <c r="J11" s="8">
        <f t="shared" si="1"/>
        <v>0</v>
      </c>
      <c r="K11" s="15">
        <v>100.0</v>
      </c>
      <c r="L11" s="16">
        <v>1.4765224814319189</v>
      </c>
      <c r="M11" s="11">
        <f t="shared" si="2"/>
        <v>-100</v>
      </c>
      <c r="N11" s="17" t="s">
        <v>49</v>
      </c>
      <c r="O11" s="3">
        <v>5.0</v>
      </c>
      <c r="P11" s="3">
        <v>5.0</v>
      </c>
      <c r="Q11" s="3">
        <v>0.0</v>
      </c>
      <c r="R11" s="3">
        <v>64.5</v>
      </c>
      <c r="S11" s="3">
        <v>18275.0</v>
      </c>
      <c r="T11" s="3">
        <v>2048.0</v>
      </c>
      <c r="U11" s="3" t="s">
        <v>52</v>
      </c>
      <c r="V11" s="17" t="s">
        <v>93</v>
      </c>
    </row>
    <row r="12" ht="40.5" customHeight="1">
      <c r="A12" s="3" t="s">
        <v>94</v>
      </c>
      <c r="B12" s="13" t="s">
        <v>95</v>
      </c>
      <c r="C12" s="3" t="s">
        <v>43</v>
      </c>
      <c r="D12" s="3" t="s">
        <v>70</v>
      </c>
      <c r="E12" s="13" t="s">
        <v>45</v>
      </c>
      <c r="F12" s="3" t="s">
        <v>47</v>
      </c>
      <c r="G12" s="14">
        <v>0.32</v>
      </c>
      <c r="H12" s="3" t="s">
        <v>43</v>
      </c>
      <c r="I12" s="3" t="s">
        <v>70</v>
      </c>
      <c r="J12" s="8">
        <f t="shared" si="1"/>
        <v>0</v>
      </c>
      <c r="K12" s="15">
        <v>100.0</v>
      </c>
      <c r="L12" s="16">
        <v>1.688418440706501</v>
      </c>
      <c r="M12" s="11">
        <f t="shared" si="2"/>
        <v>-100</v>
      </c>
      <c r="N12" s="17" t="s">
        <v>49</v>
      </c>
      <c r="O12" s="3">
        <v>5.0</v>
      </c>
      <c r="P12" s="3">
        <v>5.0</v>
      </c>
      <c r="Q12" s="3">
        <v>0.0</v>
      </c>
      <c r="R12" s="3">
        <v>37.6</v>
      </c>
      <c r="S12" s="3">
        <v>17226.0</v>
      </c>
      <c r="T12" s="3">
        <v>1873.0</v>
      </c>
      <c r="U12" s="3" t="s">
        <v>52</v>
      </c>
      <c r="V12" s="17" t="s">
        <v>100</v>
      </c>
    </row>
    <row r="13" ht="40.5" customHeight="1">
      <c r="A13" s="3" t="s">
        <v>101</v>
      </c>
      <c r="B13" s="13" t="s">
        <v>103</v>
      </c>
      <c r="C13" s="3" t="s">
        <v>56</v>
      </c>
      <c r="D13" s="3" t="s">
        <v>104</v>
      </c>
      <c r="E13" s="13" t="s">
        <v>45</v>
      </c>
      <c r="F13" s="3" t="s">
        <v>47</v>
      </c>
      <c r="G13" s="14">
        <v>0.47</v>
      </c>
      <c r="H13" s="3" t="s">
        <v>56</v>
      </c>
      <c r="I13" s="3" t="s">
        <v>104</v>
      </c>
      <c r="J13" s="8">
        <f t="shared" si="1"/>
        <v>0</v>
      </c>
      <c r="K13" s="15">
        <v>100.0</v>
      </c>
      <c r="L13" s="16">
        <v>2.8847792084004973</v>
      </c>
      <c r="M13" s="11">
        <f t="shared" si="2"/>
        <v>-100</v>
      </c>
      <c r="N13" s="17" t="s">
        <v>49</v>
      </c>
      <c r="O13" s="3">
        <v>5.0</v>
      </c>
      <c r="P13" s="3">
        <v>5.0</v>
      </c>
      <c r="Q13" s="3">
        <v>0.0</v>
      </c>
      <c r="R13" s="3">
        <v>70.5</v>
      </c>
      <c r="S13" s="3">
        <v>16597.0</v>
      </c>
      <c r="T13" s="3">
        <v>2474.0</v>
      </c>
      <c r="U13" s="3" t="s">
        <v>52</v>
      </c>
      <c r="V13" s="17" t="s">
        <v>109</v>
      </c>
    </row>
    <row r="14" ht="40.5" customHeight="1">
      <c r="A14" s="3" t="s">
        <v>111</v>
      </c>
      <c r="B14" s="13" t="s">
        <v>113</v>
      </c>
      <c r="C14" s="3" t="s">
        <v>114</v>
      </c>
      <c r="D14" s="3" t="s">
        <v>116</v>
      </c>
      <c r="E14" s="13" t="s">
        <v>45</v>
      </c>
      <c r="F14" s="3" t="s">
        <v>47</v>
      </c>
      <c r="G14" s="14">
        <v>0.68</v>
      </c>
      <c r="H14" s="3" t="s">
        <v>116</v>
      </c>
      <c r="I14" s="3" t="s">
        <v>114</v>
      </c>
      <c r="J14" s="8">
        <f t="shared" si="1"/>
        <v>0</v>
      </c>
      <c r="K14" s="15">
        <v>100.0</v>
      </c>
      <c r="L14" s="16">
        <v>1.3939374523829573</v>
      </c>
      <c r="M14" s="11">
        <f t="shared" si="2"/>
        <v>-100</v>
      </c>
      <c r="N14" s="17" t="s">
        <v>49</v>
      </c>
      <c r="O14" s="3">
        <v>5.0</v>
      </c>
      <c r="P14" s="3">
        <v>5.0</v>
      </c>
      <c r="Q14" s="3">
        <v>0.0</v>
      </c>
      <c r="R14" s="3">
        <v>40.0</v>
      </c>
      <c r="S14" s="3">
        <v>17566.0</v>
      </c>
      <c r="T14" s="3">
        <v>1717.0</v>
      </c>
      <c r="U14" s="3" t="s">
        <v>52</v>
      </c>
      <c r="V14" s="17" t="s">
        <v>123</v>
      </c>
    </row>
  </sheetData>
  <autoFilter ref="$A$4:$V$14"/>
  <mergeCells count="2">
    <mergeCell ref="A1:V1"/>
    <mergeCell ref="A2:V2"/>
  </mergeCells>
  <conditionalFormatting sqref="J5:J14">
    <cfRule type="cellIs" dxfId="0" priority="1" stopIfTrue="1" operator="equal">
      <formula>1</formula>
    </cfRule>
  </conditionalFormatting>
  <conditionalFormatting sqref="J5:J14">
    <cfRule type="cellIs" dxfId="1" priority="2" stopIfTrue="1" operator="equal">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3.88"/>
    <col customWidth="1" min="2" max="2" width="12.0"/>
    <col customWidth="1" min="3" max="4" width="8.88"/>
    <col customWidth="1" min="5" max="5" width="12.0"/>
    <col customWidth="1" min="6" max="6" width="22.63"/>
    <col customWidth="1" min="7" max="7" width="11.38"/>
    <col customWidth="1" min="8" max="9" width="12.63"/>
    <col customWidth="1" min="10" max="11" width="12.0"/>
    <col customWidth="1" min="12" max="12" width="14.5"/>
    <col customWidth="1" min="13" max="13" width="12.63"/>
    <col customWidth="1" min="14" max="14" width="42.63"/>
    <col customWidth="1" min="15" max="15" width="10.75"/>
    <col customWidth="1" min="16" max="16" width="12.0"/>
    <col customWidth="1" min="17" max="17" width="11.38"/>
    <col customWidth="1" min="18" max="18" width="13.25"/>
    <col customWidth="1" min="19" max="20" width="12.63"/>
    <col customWidth="1" min="21" max="21" width="30.13"/>
    <col customWidth="1" min="22" max="22" width="52.63"/>
  </cols>
  <sheetData>
    <row r="1" ht="24.0" customHeight="1">
      <c r="A1" s="1" t="s">
        <v>16</v>
      </c>
    </row>
    <row r="2" ht="28.5" customHeight="1">
      <c r="A2" s="9" t="s">
        <v>18</v>
      </c>
    </row>
    <row r="3">
      <c r="A3" s="4" t="s">
        <v>5</v>
      </c>
      <c r="B3" s="6">
        <f>SUM(J5:J14)/COUNTA(A5:A14)</f>
        <v>0.6</v>
      </c>
      <c r="C3" s="4" t="s">
        <v>9</v>
      </c>
      <c r="D3" s="7">
        <f>SUM(M5:M14)</f>
        <v>27.34575013</v>
      </c>
      <c r="E3" s="4" t="s">
        <v>12</v>
      </c>
      <c r="F3" s="4">
        <f>SUM(Q5:Q14)</f>
        <v>0</v>
      </c>
      <c r="G3" s="4" t="s">
        <v>7</v>
      </c>
      <c r="H3" s="4">
        <f>COUNTA(A5:A14)</f>
        <v>10</v>
      </c>
      <c r="I3" s="3" t="s">
        <v>4</v>
      </c>
      <c r="J3" s="3" t="s">
        <v>4</v>
      </c>
      <c r="K3" s="3" t="s">
        <v>4</v>
      </c>
      <c r="L3" s="3" t="s">
        <v>4</v>
      </c>
      <c r="M3" s="3" t="s">
        <v>4</v>
      </c>
      <c r="N3" s="3" t="s">
        <v>4</v>
      </c>
      <c r="O3" s="3" t="s">
        <v>4</v>
      </c>
      <c r="P3" s="3" t="s">
        <v>4</v>
      </c>
      <c r="Q3" s="3" t="s">
        <v>4</v>
      </c>
      <c r="R3" s="3" t="s">
        <v>4</v>
      </c>
      <c r="S3" s="3" t="s">
        <v>4</v>
      </c>
      <c r="T3" s="3" t="s">
        <v>4</v>
      </c>
      <c r="U3" s="3" t="s">
        <v>4</v>
      </c>
      <c r="V3" s="3" t="s">
        <v>4</v>
      </c>
    </row>
    <row r="4">
      <c r="A4" s="5" t="s">
        <v>19</v>
      </c>
      <c r="B4" s="5" t="s">
        <v>20</v>
      </c>
      <c r="C4" s="5" t="s">
        <v>21</v>
      </c>
      <c r="D4" s="5" t="s">
        <v>22</v>
      </c>
      <c r="E4" s="5" t="s">
        <v>23</v>
      </c>
      <c r="F4" s="5" t="s">
        <v>24</v>
      </c>
      <c r="G4" s="5" t="s">
        <v>25</v>
      </c>
      <c r="H4" s="5" t="s">
        <v>26</v>
      </c>
      <c r="I4" s="5" t="s">
        <v>27</v>
      </c>
      <c r="J4" s="5" t="s">
        <v>28</v>
      </c>
      <c r="K4" s="5" t="s">
        <v>29</v>
      </c>
      <c r="L4" s="5" t="s">
        <v>30</v>
      </c>
      <c r="M4" s="5" t="s">
        <v>9</v>
      </c>
      <c r="N4" s="5" t="s">
        <v>31</v>
      </c>
      <c r="O4" s="5" t="s">
        <v>32</v>
      </c>
      <c r="P4" s="5" t="s">
        <v>33</v>
      </c>
      <c r="Q4" s="5" t="s">
        <v>34</v>
      </c>
      <c r="R4" s="5" t="s">
        <v>35</v>
      </c>
      <c r="S4" s="5" t="s">
        <v>36</v>
      </c>
      <c r="T4" s="5" t="s">
        <v>38</v>
      </c>
      <c r="U4" s="5" t="s">
        <v>39</v>
      </c>
      <c r="V4" s="5" t="s">
        <v>40</v>
      </c>
    </row>
    <row r="5" ht="40.5" customHeight="1">
      <c r="A5" s="3" t="s">
        <v>41</v>
      </c>
      <c r="B5" s="13" t="s">
        <v>42</v>
      </c>
      <c r="C5" s="3" t="s">
        <v>43</v>
      </c>
      <c r="D5" s="3" t="s">
        <v>44</v>
      </c>
      <c r="E5" s="13" t="s">
        <v>45</v>
      </c>
      <c r="F5" s="3" t="s">
        <v>47</v>
      </c>
      <c r="G5" s="14">
        <v>0.63</v>
      </c>
      <c r="H5" s="3" t="s">
        <v>44</v>
      </c>
      <c r="I5" s="3" t="s">
        <v>44</v>
      </c>
      <c r="J5" s="8">
        <f t="shared" ref="J5:J14" si="1">IF(H5=I5,1,0)</f>
        <v>1</v>
      </c>
      <c r="K5" s="15">
        <v>100.0</v>
      </c>
      <c r="L5" s="16">
        <v>1.5395645124767854</v>
      </c>
      <c r="M5" s="11">
        <f t="shared" ref="M5:M14" si="2">IF(J5=1,K5*(L5-1),-K5)</f>
        <v>53.95645125</v>
      </c>
      <c r="N5" s="17" t="s">
        <v>58</v>
      </c>
      <c r="O5" s="3">
        <v>6.0</v>
      </c>
      <c r="P5" s="3">
        <v>6.0</v>
      </c>
      <c r="Q5" s="3">
        <v>0.0</v>
      </c>
      <c r="R5" s="3">
        <v>40.5</v>
      </c>
      <c r="S5" s="3">
        <v>24938.0</v>
      </c>
      <c r="T5" s="3">
        <v>2025.0</v>
      </c>
      <c r="U5" s="3" t="s">
        <v>59</v>
      </c>
      <c r="V5" s="17" t="s">
        <v>60</v>
      </c>
    </row>
    <row r="6" ht="40.5" customHeight="1">
      <c r="A6" s="3" t="s">
        <v>53</v>
      </c>
      <c r="B6" s="13" t="s">
        <v>55</v>
      </c>
      <c r="C6" s="3" t="s">
        <v>56</v>
      </c>
      <c r="D6" s="3" t="s">
        <v>57</v>
      </c>
      <c r="E6" s="13" t="s">
        <v>45</v>
      </c>
      <c r="F6" s="3" t="s">
        <v>47</v>
      </c>
      <c r="G6" s="14">
        <v>0.467</v>
      </c>
      <c r="H6" s="3" t="s">
        <v>56</v>
      </c>
      <c r="I6" s="3" t="s">
        <v>57</v>
      </c>
      <c r="J6" s="8">
        <f t="shared" si="1"/>
        <v>0</v>
      </c>
      <c r="K6" s="15">
        <v>100.0</v>
      </c>
      <c r="L6" s="16">
        <v>2.487057668129615</v>
      </c>
      <c r="M6" s="11">
        <f t="shared" si="2"/>
        <v>-100</v>
      </c>
      <c r="N6" s="17" t="s">
        <v>58</v>
      </c>
      <c r="O6" s="3">
        <v>6.0</v>
      </c>
      <c r="P6" s="3">
        <v>6.0</v>
      </c>
      <c r="Q6" s="3">
        <v>0.0</v>
      </c>
      <c r="R6" s="3">
        <v>49.5</v>
      </c>
      <c r="S6" s="3">
        <v>20253.0</v>
      </c>
      <c r="T6" s="3">
        <v>1935.0</v>
      </c>
      <c r="U6" s="3" t="s">
        <v>59</v>
      </c>
      <c r="V6" s="17" t="s">
        <v>66</v>
      </c>
    </row>
    <row r="7" ht="40.5" customHeight="1">
      <c r="A7" s="3" t="s">
        <v>62</v>
      </c>
      <c r="B7" s="13" t="s">
        <v>63</v>
      </c>
      <c r="C7" s="3" t="s">
        <v>64</v>
      </c>
      <c r="D7" s="3" t="s">
        <v>65</v>
      </c>
      <c r="E7" s="13" t="s">
        <v>45</v>
      </c>
      <c r="F7" s="3" t="s">
        <v>47</v>
      </c>
      <c r="G7" s="14">
        <v>0.48</v>
      </c>
      <c r="H7" s="3" t="s">
        <v>64</v>
      </c>
      <c r="I7" s="3" t="s">
        <v>64</v>
      </c>
      <c r="J7" s="8">
        <f t="shared" si="1"/>
        <v>1</v>
      </c>
      <c r="K7" s="15">
        <v>100.0</v>
      </c>
      <c r="L7" s="16">
        <v>1.648072857790548</v>
      </c>
      <c r="M7" s="11">
        <f t="shared" si="2"/>
        <v>64.80728578</v>
      </c>
      <c r="N7" s="17" t="s">
        <v>58</v>
      </c>
      <c r="O7" s="3">
        <v>6.0</v>
      </c>
      <c r="P7" s="3">
        <v>6.0</v>
      </c>
      <c r="Q7" s="3">
        <v>0.0</v>
      </c>
      <c r="R7" s="3">
        <v>44.5</v>
      </c>
      <c r="S7" s="3">
        <v>27341.0</v>
      </c>
      <c r="T7" s="3">
        <v>2028.0</v>
      </c>
      <c r="U7" s="3" t="s">
        <v>59</v>
      </c>
      <c r="V7" s="17" t="s">
        <v>73</v>
      </c>
    </row>
    <row r="8" ht="40.5" customHeight="1">
      <c r="A8" s="3" t="s">
        <v>68</v>
      </c>
      <c r="B8" s="13" t="s">
        <v>69</v>
      </c>
      <c r="C8" s="3" t="s">
        <v>70</v>
      </c>
      <c r="D8" s="3" t="s">
        <v>71</v>
      </c>
      <c r="E8" s="13" t="s">
        <v>45</v>
      </c>
      <c r="F8" s="3" t="s">
        <v>47</v>
      </c>
      <c r="G8" s="14">
        <v>0.3416</v>
      </c>
      <c r="H8" s="3" t="s">
        <v>70</v>
      </c>
      <c r="I8" s="3" t="s">
        <v>70</v>
      </c>
      <c r="J8" s="8">
        <f t="shared" si="1"/>
        <v>1</v>
      </c>
      <c r="K8" s="15">
        <v>100.0</v>
      </c>
      <c r="L8" s="16">
        <v>1.0944003516016714</v>
      </c>
      <c r="M8" s="11">
        <f t="shared" si="2"/>
        <v>9.44003516</v>
      </c>
      <c r="N8" s="17" t="s">
        <v>58</v>
      </c>
      <c r="O8" s="3">
        <v>6.0</v>
      </c>
      <c r="P8" s="3">
        <v>6.0</v>
      </c>
      <c r="Q8" s="3">
        <v>0.0</v>
      </c>
      <c r="R8" s="3">
        <v>46.6</v>
      </c>
      <c r="S8" s="3">
        <v>28539.0</v>
      </c>
      <c r="T8" s="3">
        <v>2286.0</v>
      </c>
      <c r="U8" s="3" t="s">
        <v>59</v>
      </c>
      <c r="V8" s="17" t="s">
        <v>82</v>
      </c>
    </row>
    <row r="9" ht="40.5" customHeight="1">
      <c r="A9" s="3" t="s">
        <v>75</v>
      </c>
      <c r="B9" s="13" t="s">
        <v>76</v>
      </c>
      <c r="C9" s="3" t="s">
        <v>56</v>
      </c>
      <c r="D9" s="3" t="s">
        <v>78</v>
      </c>
      <c r="E9" s="13" t="s">
        <v>45</v>
      </c>
      <c r="F9" s="3" t="s">
        <v>47</v>
      </c>
      <c r="G9" s="14">
        <v>0.2362</v>
      </c>
      <c r="H9" s="3" t="s">
        <v>56</v>
      </c>
      <c r="I9" s="3" t="s">
        <v>78</v>
      </c>
      <c r="J9" s="8">
        <f t="shared" si="1"/>
        <v>0</v>
      </c>
      <c r="K9" s="15">
        <v>100.0</v>
      </c>
      <c r="L9" s="16">
        <v>4.253041001352346</v>
      </c>
      <c r="M9" s="11">
        <f t="shared" si="2"/>
        <v>-100</v>
      </c>
      <c r="N9" s="17" t="s">
        <v>58</v>
      </c>
      <c r="O9" s="3">
        <v>6.0</v>
      </c>
      <c r="P9" s="3">
        <v>6.0</v>
      </c>
      <c r="Q9" s="3">
        <v>0.0</v>
      </c>
      <c r="R9" s="3">
        <v>35.4</v>
      </c>
      <c r="S9" s="3">
        <v>26210.0</v>
      </c>
      <c r="T9" s="3">
        <v>1742.0</v>
      </c>
      <c r="U9" s="3" t="s">
        <v>59</v>
      </c>
      <c r="V9" s="17" t="s">
        <v>86</v>
      </c>
    </row>
    <row r="10" ht="40.5" customHeight="1">
      <c r="A10" s="3" t="s">
        <v>84</v>
      </c>
      <c r="B10" s="13" t="s">
        <v>85</v>
      </c>
      <c r="C10" s="3" t="s">
        <v>78</v>
      </c>
      <c r="D10" s="3" t="s">
        <v>43</v>
      </c>
      <c r="E10" s="13" t="s">
        <v>45</v>
      </c>
      <c r="F10" s="3" t="s">
        <v>47</v>
      </c>
      <c r="G10" s="14">
        <v>0.89</v>
      </c>
      <c r="H10" s="3" t="s">
        <v>43</v>
      </c>
      <c r="I10" s="3" t="s">
        <v>43</v>
      </c>
      <c r="J10" s="8">
        <f t="shared" si="1"/>
        <v>1</v>
      </c>
      <c r="K10" s="15">
        <v>100.0</v>
      </c>
      <c r="L10" s="16">
        <v>1.419985256803251</v>
      </c>
      <c r="M10" s="11">
        <f t="shared" si="2"/>
        <v>41.99852568</v>
      </c>
      <c r="N10" s="17" t="s">
        <v>58</v>
      </c>
      <c r="O10" s="3">
        <v>6.0</v>
      </c>
      <c r="P10" s="3">
        <v>6.0</v>
      </c>
      <c r="Q10" s="3">
        <v>0.0</v>
      </c>
      <c r="R10" s="3">
        <v>33.2</v>
      </c>
      <c r="S10" s="3">
        <v>18509.0</v>
      </c>
      <c r="T10" s="3">
        <v>1705.0</v>
      </c>
      <c r="U10" s="3" t="s">
        <v>59</v>
      </c>
      <c r="V10" s="17" t="s">
        <v>92</v>
      </c>
    </row>
    <row r="11" ht="40.5" customHeight="1">
      <c r="A11" s="3" t="s">
        <v>88</v>
      </c>
      <c r="B11" s="13" t="s">
        <v>89</v>
      </c>
      <c r="C11" s="3" t="s">
        <v>90</v>
      </c>
      <c r="D11" s="3" t="s">
        <v>91</v>
      </c>
      <c r="E11" s="13" t="s">
        <v>45</v>
      </c>
      <c r="F11" s="3" t="s">
        <v>47</v>
      </c>
      <c r="G11" s="14">
        <v>0.77</v>
      </c>
      <c r="H11" s="3" t="s">
        <v>91</v>
      </c>
      <c r="I11" s="3" t="s">
        <v>90</v>
      </c>
      <c r="J11" s="8">
        <f t="shared" si="1"/>
        <v>0</v>
      </c>
      <c r="K11" s="15">
        <v>100.0</v>
      </c>
      <c r="L11" s="16">
        <v>1.4765224814319189</v>
      </c>
      <c r="M11" s="11">
        <f t="shared" si="2"/>
        <v>-100</v>
      </c>
      <c r="N11" s="17" t="s">
        <v>58</v>
      </c>
      <c r="O11" s="3">
        <v>6.0</v>
      </c>
      <c r="P11" s="3">
        <v>6.0</v>
      </c>
      <c r="Q11" s="3">
        <v>0.0</v>
      </c>
      <c r="R11" s="3">
        <v>44.4</v>
      </c>
      <c r="S11" s="3">
        <v>28452.0</v>
      </c>
      <c r="T11" s="3">
        <v>2083.0</v>
      </c>
      <c r="U11" s="3" t="s">
        <v>59</v>
      </c>
      <c r="V11" s="17" t="s">
        <v>97</v>
      </c>
    </row>
    <row r="12" ht="40.5" customHeight="1">
      <c r="A12" s="3" t="s">
        <v>94</v>
      </c>
      <c r="B12" s="13" t="s">
        <v>95</v>
      </c>
      <c r="C12" s="3" t="s">
        <v>43</v>
      </c>
      <c r="D12" s="3" t="s">
        <v>70</v>
      </c>
      <c r="E12" s="13" t="s">
        <v>45</v>
      </c>
      <c r="F12" s="3" t="s">
        <v>47</v>
      </c>
      <c r="G12" s="14">
        <v>0.1737</v>
      </c>
      <c r="H12" s="3" t="s">
        <v>43</v>
      </c>
      <c r="I12" s="3" t="s">
        <v>70</v>
      </c>
      <c r="J12" s="8">
        <f t="shared" si="1"/>
        <v>0</v>
      </c>
      <c r="K12" s="15">
        <v>100.0</v>
      </c>
      <c r="L12" s="16">
        <v>1.688418440706501</v>
      </c>
      <c r="M12" s="11">
        <f t="shared" si="2"/>
        <v>-100</v>
      </c>
      <c r="N12" s="17" t="s">
        <v>58</v>
      </c>
      <c r="O12" s="3">
        <v>6.0</v>
      </c>
      <c r="P12" s="3">
        <v>6.0</v>
      </c>
      <c r="Q12" s="3">
        <v>0.0</v>
      </c>
      <c r="R12" s="3">
        <v>41.9</v>
      </c>
      <c r="S12" s="3">
        <v>26699.0</v>
      </c>
      <c r="T12" s="3">
        <v>1768.0</v>
      </c>
      <c r="U12" s="3" t="s">
        <v>59</v>
      </c>
      <c r="V12" s="17" t="s">
        <v>108</v>
      </c>
    </row>
    <row r="13" ht="40.5" customHeight="1">
      <c r="A13" s="3" t="s">
        <v>101</v>
      </c>
      <c r="B13" s="13" t="s">
        <v>103</v>
      </c>
      <c r="C13" s="3" t="s">
        <v>56</v>
      </c>
      <c r="D13" s="3" t="s">
        <v>104</v>
      </c>
      <c r="E13" s="13" t="s">
        <v>45</v>
      </c>
      <c r="F13" s="3" t="s">
        <v>47</v>
      </c>
      <c r="G13" s="14">
        <v>0.59</v>
      </c>
      <c r="H13" s="3" t="s">
        <v>104</v>
      </c>
      <c r="I13" s="3" t="s">
        <v>104</v>
      </c>
      <c r="J13" s="8">
        <f t="shared" si="1"/>
        <v>1</v>
      </c>
      <c r="K13" s="15">
        <v>100.0</v>
      </c>
      <c r="L13" s="16">
        <v>1.447485891745253</v>
      </c>
      <c r="M13" s="11">
        <f t="shared" si="2"/>
        <v>44.74858917</v>
      </c>
      <c r="N13" s="17" t="s">
        <v>58</v>
      </c>
      <c r="O13" s="3">
        <v>6.0</v>
      </c>
      <c r="P13" s="3">
        <v>6.0</v>
      </c>
      <c r="Q13" s="3">
        <v>0.0</v>
      </c>
      <c r="R13" s="3">
        <v>47.9</v>
      </c>
      <c r="S13" s="3">
        <v>25650.0</v>
      </c>
      <c r="T13" s="3">
        <v>2323.0</v>
      </c>
      <c r="U13" s="3" t="s">
        <v>59</v>
      </c>
      <c r="V13" s="17" t="s">
        <v>120</v>
      </c>
    </row>
    <row r="14" ht="40.5" customHeight="1">
      <c r="A14" s="3" t="s">
        <v>111</v>
      </c>
      <c r="B14" s="13" t="s">
        <v>113</v>
      </c>
      <c r="C14" s="3" t="s">
        <v>114</v>
      </c>
      <c r="D14" s="3" t="s">
        <v>116</v>
      </c>
      <c r="E14" s="13" t="s">
        <v>45</v>
      </c>
      <c r="F14" s="3" t="s">
        <v>47</v>
      </c>
      <c r="G14" s="14">
        <v>0.46</v>
      </c>
      <c r="H14" s="3" t="s">
        <v>114</v>
      </c>
      <c r="I14" s="3" t="s">
        <v>114</v>
      </c>
      <c r="J14" s="8">
        <f t="shared" si="1"/>
        <v>1</v>
      </c>
      <c r="K14" s="15">
        <v>100.0</v>
      </c>
      <c r="L14" s="16">
        <v>3.123948630907922</v>
      </c>
      <c r="M14" s="11">
        <f t="shared" si="2"/>
        <v>212.3948631</v>
      </c>
      <c r="N14" s="17" t="s">
        <v>58</v>
      </c>
      <c r="O14" s="3">
        <v>6.0</v>
      </c>
      <c r="P14" s="3">
        <v>6.0</v>
      </c>
      <c r="Q14" s="3">
        <v>0.0</v>
      </c>
      <c r="R14" s="3">
        <v>40.2</v>
      </c>
      <c r="S14" s="3">
        <v>27269.0</v>
      </c>
      <c r="T14" s="3">
        <v>1923.0</v>
      </c>
      <c r="U14" s="3" t="s">
        <v>59</v>
      </c>
      <c r="V14" s="17" t="s">
        <v>124</v>
      </c>
    </row>
  </sheetData>
  <autoFilter ref="$A$4:$V$14"/>
  <mergeCells count="2">
    <mergeCell ref="A1:V1"/>
    <mergeCell ref="A2:V2"/>
  </mergeCells>
  <conditionalFormatting sqref="J5:J14">
    <cfRule type="cellIs" dxfId="0" priority="1" stopIfTrue="1" operator="equal">
      <formula>1</formula>
    </cfRule>
  </conditionalFormatting>
  <conditionalFormatting sqref="J5:J14">
    <cfRule type="cellIs" dxfId="1" priority="2" stopIfTrue="1" operator="equal">
      <formula>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63"/>
    <col customWidth="1" min="2" max="2" width="23.88"/>
    <col customWidth="1" min="3" max="3" width="22.63"/>
    <col customWidth="1" min="4" max="6" width="11.38"/>
    <col customWidth="1" min="7" max="7" width="30.13"/>
    <col customWidth="1" min="8" max="8" width="12.63"/>
    <col customWidth="1" min="9" max="9" width="47.63"/>
    <col customWidth="1" min="10" max="10" width="11.38"/>
    <col customWidth="1" min="11" max="11" width="12.0"/>
    <col customWidth="1" min="12" max="12" width="11.38"/>
    <col customWidth="1" min="13" max="13" width="13.25"/>
    <col customWidth="1" min="14" max="14" width="16.38"/>
    <col customWidth="1" min="15" max="15" width="75.13"/>
  </cols>
  <sheetData>
    <row r="1" ht="24.0" customHeight="1">
      <c r="A1" s="1" t="s">
        <v>96</v>
      </c>
    </row>
    <row r="2" ht="28.5" customHeight="1">
      <c r="A2" s="2" t="s">
        <v>98</v>
      </c>
    </row>
    <row r="3">
      <c r="A3" s="5" t="s">
        <v>99</v>
      </c>
      <c r="B3" s="5" t="s">
        <v>19</v>
      </c>
      <c r="C3" s="5" t="s">
        <v>102</v>
      </c>
      <c r="D3" s="5" t="s">
        <v>25</v>
      </c>
      <c r="E3" s="5" t="s">
        <v>105</v>
      </c>
      <c r="F3" s="5" t="s">
        <v>106</v>
      </c>
      <c r="G3" s="5" t="s">
        <v>39</v>
      </c>
      <c r="H3" s="5" t="s">
        <v>107</v>
      </c>
      <c r="I3" s="5" t="s">
        <v>31</v>
      </c>
      <c r="J3" s="5" t="s">
        <v>32</v>
      </c>
      <c r="K3" s="5" t="s">
        <v>33</v>
      </c>
      <c r="L3" s="5" t="s">
        <v>34</v>
      </c>
      <c r="M3" s="5" t="s">
        <v>35</v>
      </c>
      <c r="N3" s="5" t="s">
        <v>110</v>
      </c>
      <c r="O3" s="5" t="s">
        <v>112</v>
      </c>
    </row>
    <row r="4" ht="55.5" customHeight="1">
      <c r="A4" s="3" t="s">
        <v>115</v>
      </c>
      <c r="B4" s="3" t="s">
        <v>41</v>
      </c>
      <c r="C4" s="3" t="s">
        <v>47</v>
      </c>
      <c r="D4" s="14">
        <v>0.68</v>
      </c>
      <c r="E4" s="3" t="s">
        <v>44</v>
      </c>
      <c r="F4" s="3" t="s">
        <v>44</v>
      </c>
      <c r="G4" s="3" t="s">
        <v>52</v>
      </c>
      <c r="H4" s="3">
        <v>12984.0</v>
      </c>
      <c r="I4" s="17" t="s">
        <v>49</v>
      </c>
      <c r="J4" s="3">
        <v>5.0</v>
      </c>
      <c r="K4" s="3">
        <v>5.0</v>
      </c>
      <c r="L4" s="3">
        <v>0.0</v>
      </c>
      <c r="M4" s="3">
        <v>42.4</v>
      </c>
      <c r="N4" s="3" t="s">
        <v>117</v>
      </c>
      <c r="O4" s="17" t="s">
        <v>118</v>
      </c>
    </row>
    <row r="5" ht="55.5" customHeight="1">
      <c r="A5" s="3" t="s">
        <v>119</v>
      </c>
      <c r="B5" s="3" t="s">
        <v>41</v>
      </c>
      <c r="C5" s="3" t="s">
        <v>47</v>
      </c>
      <c r="D5" s="14">
        <v>0.63</v>
      </c>
      <c r="E5" s="3" t="s">
        <v>44</v>
      </c>
      <c r="F5" s="3" t="s">
        <v>44</v>
      </c>
      <c r="G5" s="3" t="s">
        <v>59</v>
      </c>
      <c r="H5" s="3">
        <v>14646.0</v>
      </c>
      <c r="I5" s="17" t="s">
        <v>58</v>
      </c>
      <c r="J5" s="3">
        <v>6.0</v>
      </c>
      <c r="K5" s="3">
        <v>6.0</v>
      </c>
      <c r="L5" s="3">
        <v>0.0</v>
      </c>
      <c r="M5" s="3">
        <v>40.5</v>
      </c>
      <c r="N5" s="3" t="s">
        <v>121</v>
      </c>
      <c r="O5" s="17" t="s">
        <v>122</v>
      </c>
    </row>
    <row r="6" ht="55.5" customHeight="1">
      <c r="A6" s="3" t="s">
        <v>115</v>
      </c>
      <c r="B6" s="3" t="s">
        <v>53</v>
      </c>
      <c r="C6" s="3" t="s">
        <v>47</v>
      </c>
      <c r="D6" s="14">
        <v>0.4</v>
      </c>
      <c r="E6" s="3" t="s">
        <v>56</v>
      </c>
      <c r="F6" s="3" t="s">
        <v>57</v>
      </c>
      <c r="G6" s="3" t="s">
        <v>52</v>
      </c>
      <c r="H6" s="3">
        <v>12984.0</v>
      </c>
      <c r="I6" s="17" t="s">
        <v>49</v>
      </c>
      <c r="J6" s="3">
        <v>5.0</v>
      </c>
      <c r="K6" s="3">
        <v>5.0</v>
      </c>
      <c r="L6" s="3">
        <v>0.0</v>
      </c>
      <c r="M6" s="3">
        <v>46.2</v>
      </c>
      <c r="N6" s="3" t="s">
        <v>125</v>
      </c>
      <c r="O6" s="17" t="s">
        <v>126</v>
      </c>
    </row>
    <row r="7" ht="55.5" customHeight="1">
      <c r="A7" s="3" t="s">
        <v>119</v>
      </c>
      <c r="B7" s="3" t="s">
        <v>53</v>
      </c>
      <c r="C7" s="3" t="s">
        <v>47</v>
      </c>
      <c r="D7" s="14">
        <v>0.467</v>
      </c>
      <c r="E7" s="3" t="s">
        <v>56</v>
      </c>
      <c r="F7" s="3" t="s">
        <v>57</v>
      </c>
      <c r="G7" s="3" t="s">
        <v>59</v>
      </c>
      <c r="H7" s="3">
        <v>14646.0</v>
      </c>
      <c r="I7" s="17" t="s">
        <v>58</v>
      </c>
      <c r="J7" s="3">
        <v>6.0</v>
      </c>
      <c r="K7" s="3">
        <v>6.0</v>
      </c>
      <c r="L7" s="3">
        <v>0.0</v>
      </c>
      <c r="M7" s="3">
        <v>49.5</v>
      </c>
      <c r="N7" s="3" t="s">
        <v>127</v>
      </c>
      <c r="O7" s="17" t="s">
        <v>128</v>
      </c>
    </row>
    <row r="8" ht="55.5" customHeight="1">
      <c r="A8" s="3" t="s">
        <v>115</v>
      </c>
      <c r="B8" s="3" t="s">
        <v>62</v>
      </c>
      <c r="C8" s="3" t="s">
        <v>47</v>
      </c>
      <c r="D8" s="14">
        <v>0.3</v>
      </c>
      <c r="E8" s="3" t="s">
        <v>64</v>
      </c>
      <c r="F8" s="3" t="s">
        <v>64</v>
      </c>
      <c r="G8" s="3" t="s">
        <v>52</v>
      </c>
      <c r="H8" s="3">
        <v>12984.0</v>
      </c>
      <c r="I8" s="17" t="s">
        <v>49</v>
      </c>
      <c r="J8" s="3">
        <v>5.0</v>
      </c>
      <c r="K8" s="3">
        <v>5.0</v>
      </c>
      <c r="L8" s="3">
        <v>0.0</v>
      </c>
      <c r="M8" s="3">
        <v>37.6</v>
      </c>
      <c r="N8" s="3" t="s">
        <v>129</v>
      </c>
      <c r="O8" s="17" t="s">
        <v>130</v>
      </c>
    </row>
    <row r="9" ht="55.5" customHeight="1">
      <c r="A9" s="3" t="s">
        <v>119</v>
      </c>
      <c r="B9" s="3" t="s">
        <v>62</v>
      </c>
      <c r="C9" s="3" t="s">
        <v>47</v>
      </c>
      <c r="D9" s="14">
        <v>0.48</v>
      </c>
      <c r="E9" s="3" t="s">
        <v>64</v>
      </c>
      <c r="F9" s="3" t="s">
        <v>64</v>
      </c>
      <c r="G9" s="3" t="s">
        <v>59</v>
      </c>
      <c r="H9" s="3">
        <v>14646.0</v>
      </c>
      <c r="I9" s="17" t="s">
        <v>58</v>
      </c>
      <c r="J9" s="3">
        <v>6.0</v>
      </c>
      <c r="K9" s="3">
        <v>6.0</v>
      </c>
      <c r="L9" s="3">
        <v>0.0</v>
      </c>
      <c r="M9" s="3">
        <v>44.5</v>
      </c>
      <c r="N9" s="3" t="s">
        <v>131</v>
      </c>
      <c r="O9" s="17" t="s">
        <v>132</v>
      </c>
    </row>
    <row r="10" ht="55.5" customHeight="1">
      <c r="A10" s="3" t="s">
        <v>115</v>
      </c>
      <c r="B10" s="3" t="s">
        <v>68</v>
      </c>
      <c r="C10" s="3" t="s">
        <v>47</v>
      </c>
      <c r="D10" s="14">
        <v>0.48</v>
      </c>
      <c r="E10" s="3" t="s">
        <v>70</v>
      </c>
      <c r="F10" s="3" t="s">
        <v>70</v>
      </c>
      <c r="G10" s="3" t="s">
        <v>52</v>
      </c>
      <c r="H10" s="3">
        <v>12984.0</v>
      </c>
      <c r="I10" s="17" t="s">
        <v>49</v>
      </c>
      <c r="J10" s="3">
        <v>5.0</v>
      </c>
      <c r="K10" s="3">
        <v>5.0</v>
      </c>
      <c r="L10" s="3">
        <v>0.0</v>
      </c>
      <c r="M10" s="3">
        <v>34.8</v>
      </c>
      <c r="N10" s="3" t="s">
        <v>133</v>
      </c>
      <c r="O10" s="17" t="s">
        <v>134</v>
      </c>
    </row>
    <row r="11" ht="55.5" customHeight="1">
      <c r="A11" s="3" t="s">
        <v>119</v>
      </c>
      <c r="B11" s="3" t="s">
        <v>68</v>
      </c>
      <c r="C11" s="3" t="s">
        <v>47</v>
      </c>
      <c r="D11" s="14">
        <v>0.3416</v>
      </c>
      <c r="E11" s="3" t="s">
        <v>70</v>
      </c>
      <c r="F11" s="3" t="s">
        <v>70</v>
      </c>
      <c r="G11" s="3" t="s">
        <v>59</v>
      </c>
      <c r="H11" s="3">
        <v>14646.0</v>
      </c>
      <c r="I11" s="17" t="s">
        <v>58</v>
      </c>
      <c r="J11" s="3">
        <v>6.0</v>
      </c>
      <c r="K11" s="3">
        <v>6.0</v>
      </c>
      <c r="L11" s="3">
        <v>0.0</v>
      </c>
      <c r="M11" s="3">
        <v>46.6</v>
      </c>
      <c r="N11" s="3" t="s">
        <v>135</v>
      </c>
      <c r="O11" s="17" t="s">
        <v>136</v>
      </c>
    </row>
    <row r="12" ht="55.5" customHeight="1">
      <c r="A12" s="3" t="s">
        <v>115</v>
      </c>
      <c r="B12" s="3" t="s">
        <v>75</v>
      </c>
      <c r="C12" s="3" t="s">
        <v>47</v>
      </c>
      <c r="D12" s="14">
        <v>0.32</v>
      </c>
      <c r="E12" s="3" t="s">
        <v>56</v>
      </c>
      <c r="F12" s="3" t="s">
        <v>78</v>
      </c>
      <c r="G12" s="3" t="s">
        <v>52</v>
      </c>
      <c r="H12" s="3">
        <v>12984.0</v>
      </c>
      <c r="I12" s="17" t="s">
        <v>49</v>
      </c>
      <c r="J12" s="3">
        <v>5.0</v>
      </c>
      <c r="K12" s="3">
        <v>5.0</v>
      </c>
      <c r="L12" s="3">
        <v>0.0</v>
      </c>
      <c r="M12" s="3">
        <v>46.7</v>
      </c>
      <c r="N12" s="3" t="s">
        <v>137</v>
      </c>
      <c r="O12" s="17" t="s">
        <v>138</v>
      </c>
    </row>
    <row r="13" ht="55.5" customHeight="1">
      <c r="A13" s="3" t="s">
        <v>119</v>
      </c>
      <c r="B13" s="3" t="s">
        <v>75</v>
      </c>
      <c r="C13" s="3" t="s">
        <v>47</v>
      </c>
      <c r="D13" s="14">
        <v>0.2362</v>
      </c>
      <c r="E13" s="3" t="s">
        <v>56</v>
      </c>
      <c r="F13" s="3" t="s">
        <v>78</v>
      </c>
      <c r="G13" s="3" t="s">
        <v>59</v>
      </c>
      <c r="H13" s="3">
        <v>14646.0</v>
      </c>
      <c r="I13" s="17" t="s">
        <v>58</v>
      </c>
      <c r="J13" s="3">
        <v>6.0</v>
      </c>
      <c r="K13" s="3">
        <v>6.0</v>
      </c>
      <c r="L13" s="3">
        <v>0.0</v>
      </c>
      <c r="M13" s="3">
        <v>35.4</v>
      </c>
      <c r="N13" s="3" t="s">
        <v>140</v>
      </c>
      <c r="O13" s="17" t="s">
        <v>141</v>
      </c>
    </row>
    <row r="14" ht="55.5" customHeight="1">
      <c r="A14" s="3" t="s">
        <v>115</v>
      </c>
      <c r="B14" s="3" t="s">
        <v>84</v>
      </c>
      <c r="C14" s="3" t="s">
        <v>47</v>
      </c>
      <c r="D14" s="14">
        <v>0.68</v>
      </c>
      <c r="E14" s="3" t="s">
        <v>43</v>
      </c>
      <c r="F14" s="3" t="s">
        <v>43</v>
      </c>
      <c r="G14" s="3" t="s">
        <v>52</v>
      </c>
      <c r="H14" s="3">
        <v>12984.0</v>
      </c>
      <c r="I14" s="17" t="s">
        <v>49</v>
      </c>
      <c r="J14" s="3">
        <v>5.0</v>
      </c>
      <c r="K14" s="3">
        <v>5.0</v>
      </c>
      <c r="L14" s="3">
        <v>0.0</v>
      </c>
      <c r="M14" s="3">
        <v>36.3</v>
      </c>
      <c r="N14" s="3" t="s">
        <v>149</v>
      </c>
      <c r="O14" s="17" t="s">
        <v>150</v>
      </c>
    </row>
    <row r="15" ht="55.5" customHeight="1">
      <c r="A15" s="3" t="s">
        <v>119</v>
      </c>
      <c r="B15" s="3" t="s">
        <v>84</v>
      </c>
      <c r="C15" s="3" t="s">
        <v>47</v>
      </c>
      <c r="D15" s="14">
        <v>0.89</v>
      </c>
      <c r="E15" s="3" t="s">
        <v>43</v>
      </c>
      <c r="F15" s="3" t="s">
        <v>43</v>
      </c>
      <c r="G15" s="3" t="s">
        <v>59</v>
      </c>
      <c r="H15" s="3">
        <v>14646.0</v>
      </c>
      <c r="I15" s="17" t="s">
        <v>58</v>
      </c>
      <c r="J15" s="3">
        <v>6.0</v>
      </c>
      <c r="K15" s="3">
        <v>6.0</v>
      </c>
      <c r="L15" s="3">
        <v>0.0</v>
      </c>
      <c r="M15" s="3">
        <v>33.2</v>
      </c>
      <c r="N15" s="3" t="s">
        <v>153</v>
      </c>
      <c r="O15" s="17" t="s">
        <v>154</v>
      </c>
    </row>
    <row r="16" ht="55.5" customHeight="1">
      <c r="A16" s="3" t="s">
        <v>115</v>
      </c>
      <c r="B16" s="3" t="s">
        <v>88</v>
      </c>
      <c r="C16" s="3" t="s">
        <v>47</v>
      </c>
      <c r="D16" s="14">
        <v>0.68</v>
      </c>
      <c r="E16" s="3" t="s">
        <v>91</v>
      </c>
      <c r="F16" s="3" t="s">
        <v>90</v>
      </c>
      <c r="G16" s="3" t="s">
        <v>52</v>
      </c>
      <c r="H16" s="3">
        <v>12984.0</v>
      </c>
      <c r="I16" s="17" t="s">
        <v>49</v>
      </c>
      <c r="J16" s="3">
        <v>5.0</v>
      </c>
      <c r="K16" s="3">
        <v>5.0</v>
      </c>
      <c r="L16" s="3">
        <v>0.0</v>
      </c>
      <c r="M16" s="3">
        <v>64.5</v>
      </c>
      <c r="N16" s="3" t="s">
        <v>158</v>
      </c>
      <c r="O16" s="17" t="s">
        <v>160</v>
      </c>
    </row>
    <row r="17" ht="55.5" customHeight="1">
      <c r="A17" s="3" t="s">
        <v>119</v>
      </c>
      <c r="B17" s="3" t="s">
        <v>88</v>
      </c>
      <c r="C17" s="3" t="s">
        <v>47</v>
      </c>
      <c r="D17" s="14">
        <v>0.77</v>
      </c>
      <c r="E17" s="3" t="s">
        <v>91</v>
      </c>
      <c r="F17" s="3" t="s">
        <v>90</v>
      </c>
      <c r="G17" s="3" t="s">
        <v>59</v>
      </c>
      <c r="H17" s="3">
        <v>14646.0</v>
      </c>
      <c r="I17" s="17" t="s">
        <v>58</v>
      </c>
      <c r="J17" s="3">
        <v>6.0</v>
      </c>
      <c r="K17" s="3">
        <v>6.0</v>
      </c>
      <c r="L17" s="3">
        <v>0.0</v>
      </c>
      <c r="M17" s="3">
        <v>44.4</v>
      </c>
      <c r="N17" s="3" t="s">
        <v>164</v>
      </c>
      <c r="O17" s="17" t="s">
        <v>167</v>
      </c>
    </row>
    <row r="18" ht="55.5" customHeight="1">
      <c r="A18" s="3" t="s">
        <v>115</v>
      </c>
      <c r="B18" s="3" t="s">
        <v>94</v>
      </c>
      <c r="C18" s="3" t="s">
        <v>47</v>
      </c>
      <c r="D18" s="14">
        <v>0.32</v>
      </c>
      <c r="E18" s="3" t="s">
        <v>43</v>
      </c>
      <c r="F18" s="3" t="s">
        <v>70</v>
      </c>
      <c r="G18" s="3" t="s">
        <v>52</v>
      </c>
      <c r="H18" s="3">
        <v>12984.0</v>
      </c>
      <c r="I18" s="17" t="s">
        <v>49</v>
      </c>
      <c r="J18" s="3">
        <v>5.0</v>
      </c>
      <c r="K18" s="3">
        <v>5.0</v>
      </c>
      <c r="L18" s="3">
        <v>0.0</v>
      </c>
      <c r="M18" s="3">
        <v>37.6</v>
      </c>
      <c r="N18" s="3" t="s">
        <v>171</v>
      </c>
      <c r="O18" s="17" t="s">
        <v>173</v>
      </c>
    </row>
    <row r="19" ht="55.5" customHeight="1">
      <c r="A19" s="3" t="s">
        <v>119</v>
      </c>
      <c r="B19" s="3" t="s">
        <v>94</v>
      </c>
      <c r="C19" s="3" t="s">
        <v>47</v>
      </c>
      <c r="D19" s="14">
        <v>0.1737</v>
      </c>
      <c r="E19" s="3" t="s">
        <v>43</v>
      </c>
      <c r="F19" s="3" t="s">
        <v>70</v>
      </c>
      <c r="G19" s="3" t="s">
        <v>59</v>
      </c>
      <c r="H19" s="3">
        <v>14646.0</v>
      </c>
      <c r="I19" s="17" t="s">
        <v>58</v>
      </c>
      <c r="J19" s="3">
        <v>6.0</v>
      </c>
      <c r="K19" s="3">
        <v>6.0</v>
      </c>
      <c r="L19" s="3">
        <v>0.0</v>
      </c>
      <c r="M19" s="3">
        <v>41.9</v>
      </c>
      <c r="N19" s="3" t="s">
        <v>174</v>
      </c>
      <c r="O19" s="17" t="s">
        <v>175</v>
      </c>
    </row>
    <row r="20" ht="55.5" customHeight="1">
      <c r="A20" s="3" t="s">
        <v>115</v>
      </c>
      <c r="B20" s="3" t="s">
        <v>101</v>
      </c>
      <c r="C20" s="3" t="s">
        <v>47</v>
      </c>
      <c r="D20" s="14">
        <v>0.47</v>
      </c>
      <c r="E20" s="3" t="s">
        <v>56</v>
      </c>
      <c r="F20" s="3" t="s">
        <v>104</v>
      </c>
      <c r="G20" s="3" t="s">
        <v>52</v>
      </c>
      <c r="H20" s="3">
        <v>12984.0</v>
      </c>
      <c r="I20" s="17" t="s">
        <v>49</v>
      </c>
      <c r="J20" s="3">
        <v>5.0</v>
      </c>
      <c r="K20" s="3">
        <v>5.0</v>
      </c>
      <c r="L20" s="3">
        <v>0.0</v>
      </c>
      <c r="M20" s="3">
        <v>70.5</v>
      </c>
      <c r="N20" s="3" t="s">
        <v>176</v>
      </c>
      <c r="O20" s="17" t="s">
        <v>177</v>
      </c>
    </row>
    <row r="21" ht="55.5" customHeight="1">
      <c r="A21" s="3" t="s">
        <v>119</v>
      </c>
      <c r="B21" s="3" t="s">
        <v>101</v>
      </c>
      <c r="C21" s="3" t="s">
        <v>47</v>
      </c>
      <c r="D21" s="14">
        <v>0.59</v>
      </c>
      <c r="E21" s="3" t="s">
        <v>104</v>
      </c>
      <c r="F21" s="3" t="s">
        <v>104</v>
      </c>
      <c r="G21" s="3" t="s">
        <v>59</v>
      </c>
      <c r="H21" s="3">
        <v>14646.0</v>
      </c>
      <c r="I21" s="17" t="s">
        <v>58</v>
      </c>
      <c r="J21" s="3">
        <v>6.0</v>
      </c>
      <c r="K21" s="3">
        <v>6.0</v>
      </c>
      <c r="L21" s="3">
        <v>0.0</v>
      </c>
      <c r="M21" s="3">
        <v>47.9</v>
      </c>
      <c r="N21" s="3" t="s">
        <v>178</v>
      </c>
      <c r="O21" s="17" t="s">
        <v>179</v>
      </c>
    </row>
    <row r="22" ht="55.5" customHeight="1">
      <c r="A22" s="3" t="s">
        <v>115</v>
      </c>
      <c r="B22" s="3" t="s">
        <v>111</v>
      </c>
      <c r="C22" s="3" t="s">
        <v>47</v>
      </c>
      <c r="D22" s="14">
        <v>0.68</v>
      </c>
      <c r="E22" s="3" t="s">
        <v>116</v>
      </c>
      <c r="F22" s="3" t="s">
        <v>114</v>
      </c>
      <c r="G22" s="3" t="s">
        <v>52</v>
      </c>
      <c r="H22" s="3">
        <v>12984.0</v>
      </c>
      <c r="I22" s="17" t="s">
        <v>49</v>
      </c>
      <c r="J22" s="3">
        <v>5.0</v>
      </c>
      <c r="K22" s="3">
        <v>5.0</v>
      </c>
      <c r="L22" s="3">
        <v>0.0</v>
      </c>
      <c r="M22" s="3">
        <v>40.0</v>
      </c>
      <c r="N22" s="3" t="s">
        <v>180</v>
      </c>
      <c r="O22" s="17" t="s">
        <v>181</v>
      </c>
    </row>
    <row r="23" ht="55.5" customHeight="1">
      <c r="A23" s="3" t="s">
        <v>119</v>
      </c>
      <c r="B23" s="3" t="s">
        <v>111</v>
      </c>
      <c r="C23" s="3" t="s">
        <v>47</v>
      </c>
      <c r="D23" s="14">
        <v>0.46</v>
      </c>
      <c r="E23" s="3" t="s">
        <v>114</v>
      </c>
      <c r="F23" s="3" t="s">
        <v>114</v>
      </c>
      <c r="G23" s="3" t="s">
        <v>59</v>
      </c>
      <c r="H23" s="3">
        <v>14646.0</v>
      </c>
      <c r="I23" s="17" t="s">
        <v>58</v>
      </c>
      <c r="J23" s="3">
        <v>6.0</v>
      </c>
      <c r="K23" s="3">
        <v>6.0</v>
      </c>
      <c r="L23" s="3">
        <v>0.0</v>
      </c>
      <c r="M23" s="3">
        <v>40.2</v>
      </c>
      <c r="N23" s="3" t="s">
        <v>182</v>
      </c>
      <c r="O23" s="17" t="s">
        <v>183</v>
      </c>
    </row>
  </sheetData>
  <autoFilter ref="$A$3:$O$23"/>
  <mergeCells count="2">
    <mergeCell ref="A1:O1"/>
    <mergeCell ref="A2:O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25"/>
    <col customWidth="1" min="2" max="2" width="90.13"/>
  </cols>
  <sheetData>
    <row r="1" ht="24.0" customHeight="1">
      <c r="A1" s="1" t="s">
        <v>139</v>
      </c>
    </row>
    <row r="2" ht="28.5" customHeight="1">
      <c r="A2" s="2" t="s">
        <v>142</v>
      </c>
    </row>
    <row r="3">
      <c r="A3" s="5" t="s">
        <v>143</v>
      </c>
      <c r="B3" s="5" t="s">
        <v>144</v>
      </c>
      <c r="C3" s="3" t="s">
        <v>4</v>
      </c>
      <c r="D3" s="3" t="s">
        <v>4</v>
      </c>
      <c r="E3" s="3" t="s">
        <v>4</v>
      </c>
      <c r="F3" s="3" t="s">
        <v>4</v>
      </c>
      <c r="G3" s="3" t="s">
        <v>4</v>
      </c>
      <c r="H3" s="3" t="s">
        <v>4</v>
      </c>
    </row>
    <row r="4" ht="37.5" customHeight="1">
      <c r="A4" s="3" t="s">
        <v>145</v>
      </c>
      <c r="B4" s="17" t="s">
        <v>146</v>
      </c>
      <c r="C4" s="3" t="s">
        <v>4</v>
      </c>
      <c r="D4" s="3" t="s">
        <v>4</v>
      </c>
      <c r="E4" s="3" t="s">
        <v>4</v>
      </c>
      <c r="F4" s="3" t="s">
        <v>4</v>
      </c>
      <c r="G4" s="3" t="s">
        <v>4</v>
      </c>
      <c r="H4" s="3" t="s">
        <v>4</v>
      </c>
    </row>
    <row r="5" ht="37.5" customHeight="1">
      <c r="A5" s="3" t="s">
        <v>147</v>
      </c>
      <c r="B5" s="17" t="s">
        <v>148</v>
      </c>
      <c r="C5" s="3" t="s">
        <v>4</v>
      </c>
      <c r="D5" s="3" t="s">
        <v>4</v>
      </c>
      <c r="E5" s="3" t="s">
        <v>4</v>
      </c>
      <c r="F5" s="3" t="s">
        <v>4</v>
      </c>
      <c r="G5" s="3" t="s">
        <v>4</v>
      </c>
      <c r="H5" s="3" t="s">
        <v>4</v>
      </c>
    </row>
    <row r="6" ht="37.5" customHeight="1">
      <c r="A6" s="3" t="s">
        <v>1</v>
      </c>
      <c r="B6" s="17" t="s">
        <v>151</v>
      </c>
      <c r="C6" s="3" t="s">
        <v>4</v>
      </c>
      <c r="D6" s="3" t="s">
        <v>4</v>
      </c>
      <c r="E6" s="3" t="s">
        <v>4</v>
      </c>
      <c r="F6" s="3" t="s">
        <v>4</v>
      </c>
      <c r="G6" s="3" t="s">
        <v>4</v>
      </c>
      <c r="H6" s="3" t="s">
        <v>4</v>
      </c>
    </row>
    <row r="7" ht="37.5" customHeight="1">
      <c r="A7" s="3" t="s">
        <v>15</v>
      </c>
      <c r="B7" s="17" t="s">
        <v>152</v>
      </c>
      <c r="C7" s="3" t="s">
        <v>4</v>
      </c>
      <c r="D7" s="3" t="s">
        <v>4</v>
      </c>
      <c r="E7" s="3" t="s">
        <v>4</v>
      </c>
      <c r="F7" s="3" t="s">
        <v>4</v>
      </c>
      <c r="G7" s="3" t="s">
        <v>4</v>
      </c>
      <c r="H7" s="3" t="s">
        <v>4</v>
      </c>
    </row>
    <row r="8" ht="37.5" customHeight="1">
      <c r="A8" s="3" t="s">
        <v>16</v>
      </c>
      <c r="B8" s="17" t="s">
        <v>155</v>
      </c>
      <c r="C8" s="3" t="s">
        <v>4</v>
      </c>
      <c r="D8" s="3" t="s">
        <v>4</v>
      </c>
      <c r="E8" s="3" t="s">
        <v>4</v>
      </c>
      <c r="F8" s="3" t="s">
        <v>4</v>
      </c>
      <c r="G8" s="3" t="s">
        <v>4</v>
      </c>
      <c r="H8" s="3" t="s">
        <v>4</v>
      </c>
    </row>
    <row r="9" ht="37.5" customHeight="1">
      <c r="A9" s="3" t="s">
        <v>156</v>
      </c>
      <c r="B9" s="17" t="s">
        <v>157</v>
      </c>
      <c r="C9" s="3" t="s">
        <v>4</v>
      </c>
      <c r="D9" s="3" t="s">
        <v>4</v>
      </c>
      <c r="E9" s="3" t="s">
        <v>4</v>
      </c>
      <c r="F9" s="3" t="s">
        <v>4</v>
      </c>
      <c r="G9" s="3" t="s">
        <v>4</v>
      </c>
      <c r="H9" s="3" t="s">
        <v>4</v>
      </c>
    </row>
    <row r="10" ht="37.5" customHeight="1">
      <c r="A10" s="3" t="s">
        <v>159</v>
      </c>
      <c r="B10" s="17" t="s">
        <v>161</v>
      </c>
      <c r="C10" s="3" t="s">
        <v>4</v>
      </c>
      <c r="D10" s="3" t="s">
        <v>4</v>
      </c>
      <c r="E10" s="3" t="s">
        <v>4</v>
      </c>
      <c r="F10" s="3" t="s">
        <v>4</v>
      </c>
      <c r="G10" s="3" t="s">
        <v>4</v>
      </c>
      <c r="H10" s="3" t="s">
        <v>4</v>
      </c>
    </row>
    <row r="11" ht="37.5" customHeight="1">
      <c r="A11" s="3" t="s">
        <v>162</v>
      </c>
      <c r="B11" s="17" t="s">
        <v>163</v>
      </c>
      <c r="C11" s="3" t="s">
        <v>4</v>
      </c>
      <c r="D11" s="3" t="s">
        <v>4</v>
      </c>
      <c r="E11" s="3" t="s">
        <v>4</v>
      </c>
      <c r="F11" s="3" t="s">
        <v>4</v>
      </c>
      <c r="G11" s="3" t="s">
        <v>4</v>
      </c>
      <c r="H11" s="3" t="s">
        <v>4</v>
      </c>
    </row>
    <row r="12" ht="37.5" customHeight="1">
      <c r="A12" s="3" t="s">
        <v>165</v>
      </c>
      <c r="B12" s="17" t="s">
        <v>166</v>
      </c>
      <c r="C12" s="3" t="s">
        <v>4</v>
      </c>
      <c r="D12" s="3" t="s">
        <v>4</v>
      </c>
      <c r="E12" s="3" t="s">
        <v>4</v>
      </c>
      <c r="F12" s="3" t="s">
        <v>4</v>
      </c>
      <c r="G12" s="3" t="s">
        <v>4</v>
      </c>
      <c r="H12" s="3" t="s">
        <v>4</v>
      </c>
    </row>
    <row r="13" ht="37.5" customHeight="1">
      <c r="A13" s="3" t="s">
        <v>168</v>
      </c>
      <c r="B13" s="17" t="s">
        <v>169</v>
      </c>
      <c r="C13" s="3" t="s">
        <v>4</v>
      </c>
      <c r="D13" s="3" t="s">
        <v>4</v>
      </c>
      <c r="E13" s="3" t="s">
        <v>4</v>
      </c>
      <c r="F13" s="3" t="s">
        <v>4</v>
      </c>
      <c r="G13" s="3" t="s">
        <v>4</v>
      </c>
      <c r="H13" s="3" t="s">
        <v>4</v>
      </c>
    </row>
    <row r="14" ht="37.5" customHeight="1">
      <c r="A14" s="3" t="s">
        <v>170</v>
      </c>
      <c r="B14" s="17" t="s">
        <v>172</v>
      </c>
      <c r="C14" s="3" t="s">
        <v>4</v>
      </c>
      <c r="D14" s="3" t="s">
        <v>4</v>
      </c>
      <c r="E14" s="3" t="s">
        <v>4</v>
      </c>
      <c r="F14" s="3" t="s">
        <v>4</v>
      </c>
      <c r="G14" s="3" t="s">
        <v>4</v>
      </c>
      <c r="H14" s="3" t="s">
        <v>4</v>
      </c>
    </row>
  </sheetData>
  <mergeCells count="2">
    <mergeCell ref="A1:H1"/>
    <mergeCell ref="A2:H2"/>
  </mergeCells>
  <drawing r:id="rId1"/>
</worksheet>
</file>